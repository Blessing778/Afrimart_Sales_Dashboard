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User\OneDrive\Documents\"/>
    </mc:Choice>
  </mc:AlternateContent>
  <xr:revisionPtr revIDLastSave="0" documentId="8_{3468DCA2-3144-4B50-A405-D810144DB20C}" xr6:coauthVersionLast="47" xr6:coauthVersionMax="47" xr10:uidLastSave="{00000000-0000-0000-0000-000000000000}"/>
  <bookViews>
    <workbookView xWindow="-120" yWindow="-120" windowWidth="20730" windowHeight="11160" activeTab="3" xr2:uid="{00000000-000D-0000-FFFF-FFFF00000000}"/>
  </bookViews>
  <sheets>
    <sheet name="Data" sheetId="1" r:id="rId1"/>
    <sheet name="New Data" sheetId="2" r:id="rId2"/>
    <sheet name="Analysis" sheetId="4" r:id="rId3"/>
    <sheet name="Dashboard" sheetId="5" r:id="rId4"/>
    <sheet name="Note" sheetId="3" r:id="rId5"/>
  </sheets>
  <definedNames>
    <definedName name="Slicer_Country">#N/A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16" i="4"/>
  <c r="B17" i="4"/>
  <c r="A13" i="4"/>
  <c r="B18" i="4" s="1"/>
</calcChain>
</file>

<file path=xl/sharedStrings.xml><?xml version="1.0" encoding="utf-8"?>
<sst xmlns="http://schemas.openxmlformats.org/spreadsheetml/2006/main" count="2557" uniqueCount="61">
  <si>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</si>
  <si>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</si>
  <si>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</si>
  <si>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</si>
  <si>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</si>
  <si>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</si>
  <si>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</si>
  <si>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</si>
  <si>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</si>
  <si>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</si>
  <si>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</si>
  <si>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</si>
  <si>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</si>
  <si>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</si>
  <si>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</si>
  <si>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</si>
  <si>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</si>
  <si>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</si>
  <si>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</si>
  <si>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</si>
  <si>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</si>
  <si>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</si>
  <si>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</si>
  <si>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</si>
  <si>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</si>
  <si>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Sum of Revenue</t>
  </si>
  <si>
    <t>Grand Total</t>
  </si>
  <si>
    <t>Sum of Profit</t>
  </si>
  <si>
    <t>Sum of Units Sold</t>
  </si>
  <si>
    <t xml:space="preserve">Total Revenu </t>
  </si>
  <si>
    <t>KPIS</t>
  </si>
  <si>
    <t>Total profit</t>
  </si>
  <si>
    <t>Total Unit sold</t>
  </si>
  <si>
    <t xml:space="preserve"> profit Margin</t>
  </si>
  <si>
    <t>Product By Profit</t>
  </si>
  <si>
    <t>Unit sold BY product</t>
  </si>
  <si>
    <t>Jan</t>
  </si>
  <si>
    <t>Feb</t>
  </si>
  <si>
    <t>Mar</t>
  </si>
  <si>
    <t>Apr</t>
  </si>
  <si>
    <t>May</t>
  </si>
  <si>
    <t>Jun</t>
  </si>
  <si>
    <t>Jul</t>
  </si>
  <si>
    <t>Aug</t>
  </si>
  <si>
    <t>Sep</t>
  </si>
  <si>
    <t>Oct</t>
  </si>
  <si>
    <t>Nov</t>
  </si>
  <si>
    <t>Dec</t>
  </si>
  <si>
    <t>Revenu Trend over time</t>
  </si>
  <si>
    <t>Profit by Country</t>
  </si>
  <si>
    <t>Column Labels</t>
  </si>
  <si>
    <t>Revenue By Country and Product</t>
  </si>
  <si>
    <t>Monthly Sales Performance</t>
  </si>
  <si>
    <t>Top 5 Products by profit</t>
  </si>
  <si>
    <t>Kpis</t>
  </si>
  <si>
    <t>Total Revenue</t>
  </si>
  <si>
    <t>Total Profit</t>
  </si>
  <si>
    <t>Profit Margin</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</si>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</sst>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_-[$₦-469]\ * #,##0_-;\-[$₦-469]\ * #,##0_-;_-[$₦-469]\ * &quot;-&quot;??_-;_-@_-"/>
    <numFmt numFmtId="165" formatCode="&quot;#&quot;0.00,,,&quot;B&quot;"/>
  </numFmts>
  <fonts count="6" x14ac:knownFonts="1">
    <font>
      <sz val="11"/>
      <color theme="1"/>
      <name val="Tw Cen MT"/>
      <family val="2"/>
      <scheme val="minor"/>
    </font>
    <font>
      <sz val="11"/>
      <name val="Calibri"/>
      <family val="2"/>
    </font>
    <font>
      <sz val="11"/>
      <color theme="1"/>
      <name val="Tw Cen MT"/>
      <family val="2"/>
      <scheme val="minor"/>
    </font>
    <font>
      <sz val="16"/>
      <color rgb="FFEBCB6B"/>
      <name val="Tw Cen MT"/>
      <family val="2"/>
      <scheme val="minor"/>
    </font>
    <font>
      <sz val="18"/>
      <color rgb="FFEBCB6B"/>
      <name val="Tw Cen MT"/>
      <family val="2"/>
      <scheme val="minor"/>
    </font>
    <font>
      <sz val="20"/>
      <color rgb="FFEBCB6B"/>
      <name val="Tw Cen MT"/>
      <family val="2"/>
      <scheme val="minor"/>
    </font>
  </fonts>
  <fills count="6">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rgb="FF1B211B"/>
        <bgColor indexed="64"/>
      </patternFill>
    </fill>
    <fill>
      <patternFill patternType="solid">
        <fgColor rgb="FF2A332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xf>
    <xf numFmtId="164" fontId="0" fillId="0" borderId="0" xfId="0" applyNumberFormat="1"/>
    <xf numFmtId="0" fontId="0" fillId="3" borderId="0" xfId="0" applyFill="1" applyAlignment="1">
      <alignment horizontal="center"/>
    </xf>
    <xf numFmtId="9" fontId="0" fillId="0" borderId="0" xfId="2" applyFont="1"/>
    <xf numFmtId="0" fontId="0" fillId="4" borderId="0" xfId="0" applyFill="1"/>
    <xf numFmtId="0" fontId="0" fillId="5" borderId="0" xfId="0" applyFill="1"/>
    <xf numFmtId="0" fontId="0" fillId="0" borderId="1" xfId="0" applyBorder="1"/>
    <xf numFmtId="41" fontId="0" fillId="0" borderId="0" xfId="0" applyNumberFormat="1"/>
    <xf numFmtId="165" fontId="3" fillId="0" borderId="1" xfId="1" applyNumberFormat="1" applyFont="1" applyBorder="1"/>
    <xf numFmtId="165" fontId="4" fillId="0" borderId="1" xfId="1" applyNumberFormat="1" applyFont="1" applyBorder="1"/>
    <xf numFmtId="41" fontId="4" fillId="0" borderId="1" xfId="1" applyNumberFormat="1" applyFont="1" applyBorder="1"/>
    <xf numFmtId="9" fontId="5" fillId="0" borderId="1" xfId="0" applyNumberFormat="1" applyFont="1" applyBorder="1"/>
    <xf numFmtId="0" fontId="0" fillId="2" borderId="0" xfId="0" applyFill="1" applyAlignment="1">
      <alignment horizontal="center"/>
    </xf>
  </cellXfs>
  <cellStyles count="3">
    <cellStyle name="Comma" xfId="1" builtinId="3"/>
    <cellStyle name="Normal" xfId="0" builtinId="0"/>
    <cellStyle name="Percent" xfId="2" builtinId="5"/>
  </cellStyles>
  <dxfs count="21">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33" formatCode="_(* #,##0_);_(* \(#,##0\);_(* &quot;-&quot;_);_(@_)"/>
    </dxf>
    <dxf>
      <numFmt numFmtId="164" formatCode="_-[$₦-469]\ * #,##0_-;\-[$₦-469]\ * #,##0_-;_-[$₦-469]\ * &quot;-&quot;??_-;_-@_-"/>
    </dxf>
    <dxf>
      <numFmt numFmtId="164" formatCode="_-[$₦-469]\ * #,##0_-;\-[$₦-469]\ * #,##0_-;_-[$₦-469]\ * &quot;-&quot;??_-;_-@_-"/>
    </dxf>
    <dxf>
      <numFmt numFmtId="164" formatCode="_-[$₦-469]\ * #,##0_-;\-[$₦-469]\ * #,##0_-;_-[$₦-469]\ * &quot;-&quot;??_-;_-@_-"/>
    </dxf>
    <dxf>
      <numFmt numFmtId="19" formatCode="m/d/yyyy"/>
    </dxf>
    <dxf>
      <font>
        <b/>
        <color theme="1"/>
      </font>
      <border>
        <bottom style="thin">
          <color theme="6"/>
        </bottom>
        <vertical/>
        <horizontal/>
      </border>
    </dxf>
    <dxf>
      <font>
        <color theme="1"/>
      </font>
      <fill>
        <patternFill>
          <bgColor rgb="FF2A332A"/>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1E1E1E"/>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1B3D29"/>
        </patternFill>
      </fill>
      <border>
        <left style="thin">
          <color theme="6"/>
        </left>
        <right style="thin">
          <color theme="6"/>
        </right>
        <top style="thin">
          <color theme="6"/>
        </top>
        <bottom style="thin">
          <color theme="6"/>
        </bottom>
        <vertical/>
        <horizontal/>
      </border>
    </dxf>
    <dxf>
      <fill>
        <patternFill>
          <bgColor rgb="FF0A4D2E"/>
        </patternFill>
      </fill>
    </dxf>
    <dxf>
      <fill>
        <patternFill patternType="none">
          <bgColor auto="1"/>
        </patternFill>
      </fill>
    </dxf>
    <dxf>
      <fill>
        <patternFill>
          <bgColor rgb="FF0A4D2E"/>
        </patternFill>
      </fill>
    </dxf>
    <dxf>
      <font>
        <color rgb="FF3A4A3A"/>
      </font>
    </dxf>
  </dxfs>
  <tableStyles count="7" defaultTableStyle="TableStyleMedium9" defaultPivotStyle="PivotStyleLight16">
    <tableStyle name="Slicer Style 1" pivot="0" table="0" count="1" xr9:uid="{49B1320F-BEAA-44B9-8647-C456DE572129}">
      <tableStyleElement type="wholeTable" dxfId="20"/>
    </tableStyle>
    <tableStyle name="Slicer Style 2" pivot="0" table="0" count="1" xr9:uid="{E61B11B1-79F8-4CEA-87F3-654D64361350}">
      <tableStyleElement type="wholeTable" dxfId="19"/>
    </tableStyle>
    <tableStyle name="Slicer Style 3" pivot="0" table="0" count="1" xr9:uid="{1C41EAF4-0E79-4DE4-AD76-17FA015136AD}">
      <tableStyleElement type="wholeTable" dxfId="18"/>
    </tableStyle>
    <tableStyle name="Slicer Style 4" pivot="0" table="0" count="1" xr9:uid="{E4FF065B-FA55-412F-8094-982EDFD1A7CC}">
      <tableStyleElement type="wholeTable" dxfId="17"/>
    </tableStyle>
    <tableStyle name="SlicerStyleDark3 2" pivot="0" table="0" count="10" xr9:uid="{CD2D3600-2F61-4672-BB66-2A2F6D142977}">
      <tableStyleElement type="wholeTable" dxfId="16"/>
      <tableStyleElement type="headerRow" dxfId="15"/>
    </tableStyle>
    <tableStyle name="SlicerStyleDark3 2 2" pivot="0" table="0" count="10" xr9:uid="{4B548D58-239E-45D3-B573-A96020D6FE33}">
      <tableStyleElement type="wholeTable" dxfId="14"/>
      <tableStyleElement type="headerRow" dxfId="13"/>
    </tableStyle>
    <tableStyle name="SlicerStyleDark3 2 2 2" pivot="0" table="0" count="10" xr9:uid="{3F687153-2143-4F34-980E-9569455B6291}">
      <tableStyleElement type="wholeTable" dxfId="12"/>
      <tableStyleElement type="headerRow" dxfId="11"/>
    </tableStyle>
  </tableStyles>
  <colors>
    <mruColors>
      <color rgb="FF2E8B57"/>
      <color rgb="FFEBCB6B"/>
      <color rgb="FFF5E7B0"/>
      <color rgb="FF1B3D29"/>
      <color rgb="FF0A4D2E"/>
      <color rgb="FF2A332A"/>
      <color rgb="FF1E1E1E"/>
      <color rgb="FF4A7C59"/>
      <color rgb="FF1B211B"/>
      <color rgb="FF3A4A3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EBCB6B"/>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EBCB6B"/>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BCB6B"/>
                </a:solidFill>
              </a:rPr>
              <a:t>Unit</a:t>
            </a:r>
            <a:r>
              <a:rPr lang="en-US" b="1" baseline="0">
                <a:solidFill>
                  <a:srgbClr val="EBCB6B"/>
                </a:solidFill>
              </a:rPr>
              <a:t>sold by Product</a:t>
            </a:r>
            <a:endParaRPr lang="en-US" b="1">
              <a:solidFill>
                <a:srgbClr val="EBCB6B"/>
              </a:solidFill>
            </a:endParaRPr>
          </a:p>
        </c:rich>
      </c:tx>
      <c:layout>
        <c:manualLayout>
          <c:xMode val="edge"/>
          <c:yMode val="edge"/>
          <c:x val="0.33470303687796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8B57"/>
          </a:solidFill>
          <a:ln>
            <a:noFill/>
          </a:ln>
          <a:effectLst/>
        </c:spPr>
      </c:pivotFmt>
      <c:pivotFmt>
        <c:idx val="4"/>
        <c:spPr>
          <a:solidFill>
            <a:srgbClr val="2E8B57"/>
          </a:solidFill>
          <a:ln>
            <a:noFill/>
          </a:ln>
          <a:effectLst/>
        </c:spPr>
      </c:pivotFmt>
      <c:pivotFmt>
        <c:idx val="5"/>
        <c:spPr>
          <a:solidFill>
            <a:srgbClr val="2E8B57"/>
          </a:solidFill>
          <a:ln>
            <a:noFill/>
          </a:ln>
          <a:effectLst/>
        </c:spPr>
      </c:pivotFmt>
      <c:pivotFmt>
        <c:idx val="6"/>
        <c:spPr>
          <a:solidFill>
            <a:srgbClr val="2E8B57"/>
          </a:solidFill>
          <a:ln>
            <a:noFill/>
          </a:ln>
          <a:effectLst/>
        </c:spPr>
      </c:pivotFmt>
      <c:pivotFmt>
        <c:idx val="7"/>
        <c:spPr>
          <a:solidFill>
            <a:srgbClr val="2E8B57"/>
          </a:solidFill>
          <a:ln>
            <a:noFill/>
          </a:ln>
          <a:effectLst/>
        </c:spPr>
      </c:pivotFmt>
      <c:pivotFmt>
        <c:idx val="8"/>
        <c:spPr>
          <a:solidFill>
            <a:srgbClr val="2E8B57"/>
          </a:solidFill>
          <a:ln>
            <a:noFill/>
          </a:ln>
          <a:effectLst/>
        </c:spPr>
      </c:pivotFmt>
      <c:pivotFmt>
        <c:idx val="9"/>
        <c:spPr>
          <a:solidFill>
            <a:srgbClr val="2E8B57"/>
          </a:solidFill>
          <a:ln>
            <a:noFill/>
          </a:ln>
          <a:effectLst/>
        </c:spPr>
      </c:pivotFmt>
    </c:pivotFmts>
    <c:plotArea>
      <c:layout>
        <c:manualLayout>
          <c:layoutTarget val="inner"/>
          <c:xMode val="edge"/>
          <c:yMode val="edge"/>
          <c:x val="0.17885639301811154"/>
          <c:y val="0.1878388214992899"/>
          <c:w val="0.78818479770793537"/>
          <c:h val="0.48978320195193914"/>
        </c:manualLayout>
      </c:layout>
      <c:barChart>
        <c:barDir val="col"/>
        <c:grouping val="clustered"/>
        <c:varyColors val="0"/>
        <c:ser>
          <c:idx val="0"/>
          <c:order val="0"/>
          <c:tx>
            <c:strRef>
              <c:f>Analysis!$G$3</c:f>
              <c:strCache>
                <c:ptCount val="1"/>
                <c:pt idx="0">
                  <c:v>Total</c:v>
                </c:pt>
              </c:strCache>
            </c:strRef>
          </c:tx>
          <c:spPr>
            <a:solidFill>
              <a:srgbClr val="2E8B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Analysis!$F$4:$F$11</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Analysis!$G$4:$G$11</c:f>
              <c:numCache>
                <c:formatCode>_(* #,##0_);_(* \(#,##0\);_(*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C0B5-4437-AE6B-D95A7532FCF8}"/>
            </c:ext>
          </c:extLst>
        </c:ser>
        <c:dLbls>
          <c:dLblPos val="outEnd"/>
          <c:showLegendKey val="0"/>
          <c:showVal val="1"/>
          <c:showCatName val="0"/>
          <c:showSerName val="0"/>
          <c:showPercent val="0"/>
          <c:showBubbleSize val="0"/>
        </c:dLbls>
        <c:gapWidth val="219"/>
        <c:overlap val="-27"/>
        <c:axId val="1349490575"/>
        <c:axId val="1352241311"/>
      </c:barChart>
      <c:catAx>
        <c:axId val="1349490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52241311"/>
        <c:crosses val="autoZero"/>
        <c:auto val="1"/>
        <c:lblAlgn val="ctr"/>
        <c:lblOffset val="100"/>
        <c:noMultiLvlLbl val="0"/>
      </c:catAx>
      <c:valAx>
        <c:axId val="135224131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494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BCB6B">
          <a:alpha val="1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[AfriMart_Sales_Dataset.xlsx]Analysis!PivotTable9</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EBCB6B"/>
                </a:solidFill>
              </a:rPr>
              <a:t>Revenue</a:t>
            </a:r>
            <a:r>
              <a:rPr lang="en-US" sz="1200" b="1" baseline="0">
                <a:solidFill>
                  <a:srgbClr val="EBCB6B"/>
                </a:solidFill>
              </a:rPr>
              <a:t> by Country and Product</a:t>
            </a:r>
            <a:endParaRPr lang="en-US" sz="1200" b="1">
              <a:solidFill>
                <a:srgbClr val="EBCB6B"/>
              </a:solidFill>
            </a:endParaRPr>
          </a:p>
        </c:rich>
      </c:tx>
      <c:layout>
        <c:manualLayout>
          <c:xMode val="edge"/>
          <c:yMode val="edge"/>
          <c:x val="0.16932888597258677"/>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BC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82910469524644E-2"/>
          <c:y val="0.19030497948319838"/>
          <c:w val="0.98161708953047533"/>
          <c:h val="0.54468078814091903"/>
        </c:manualLayout>
      </c:layout>
      <c:barChart>
        <c:barDir val="col"/>
        <c:grouping val="stacked"/>
        <c:varyColors val="0"/>
        <c:ser>
          <c:idx val="0"/>
          <c:order val="0"/>
          <c:tx>
            <c:strRef>
              <c:f>Analysis!$P$3:$P$4</c:f>
              <c:strCache>
                <c:ptCount val="1"/>
                <c:pt idx="0">
                  <c:v>Cement (50kg)</c:v>
                </c:pt>
              </c:strCache>
            </c:strRef>
          </c:tx>
          <c:spPr>
            <a:solidFill>
              <a:schemeClr val="accent1"/>
            </a:solidFill>
            <a:ln>
              <a:noFill/>
            </a:ln>
            <a:effectLst/>
          </c:spPr>
          <c:invertIfNegative val="0"/>
          <c:cat>
            <c:strRef>
              <c:f>Analysis!$O$5:$O$8</c:f>
              <c:strCache>
                <c:ptCount val="3"/>
                <c:pt idx="0">
                  <c:v>Côte d’Ivoire</c:v>
                </c:pt>
                <c:pt idx="1">
                  <c:v>Nigeria</c:v>
                </c:pt>
                <c:pt idx="2">
                  <c:v>Tanzania</c:v>
                </c:pt>
              </c:strCache>
            </c:strRef>
          </c:cat>
          <c:val>
            <c:numRef>
              <c:f>Analysis!$P$5:$P$8</c:f>
              <c:numCache>
                <c:formatCode>_-[$₦-469]\ * #,##0_-;\-[$₦-469]\ * #,##0_-;_-[$₦-469]\ * "-"??_-;_-@_-</c:formatCode>
                <c:ptCount val="3"/>
                <c:pt idx="0">
                  <c:v>60560000</c:v>
                </c:pt>
                <c:pt idx="1">
                  <c:v>109030000</c:v>
                </c:pt>
                <c:pt idx="2">
                  <c:v>59685000</c:v>
                </c:pt>
              </c:numCache>
            </c:numRef>
          </c:val>
          <c:extLst>
            <c:ext xmlns:c16="http://schemas.microsoft.com/office/drawing/2014/chart" uri="{C3380CC4-5D6E-409C-BE32-E72D297353CC}">
              <c16:uniqueId val="{00000000-14A1-4CA6-B1E7-9432D88D8D5A}"/>
            </c:ext>
          </c:extLst>
        </c:ser>
        <c:ser>
          <c:idx val="1"/>
          <c:order val="1"/>
          <c:tx>
            <c:strRef>
              <c:f>Analysis!$Q$3:$Q$4</c:f>
              <c:strCache>
                <c:ptCount val="1"/>
                <c:pt idx="0">
                  <c:v>Palm Oil (5L)</c:v>
                </c:pt>
              </c:strCache>
            </c:strRef>
          </c:tx>
          <c:spPr>
            <a:solidFill>
              <a:srgbClr val="2E8B57"/>
            </a:solidFill>
            <a:ln>
              <a:noFill/>
            </a:ln>
            <a:effectLst/>
          </c:spPr>
          <c:invertIfNegative val="0"/>
          <c:cat>
            <c:strRef>
              <c:f>Analysis!$O$5:$O$8</c:f>
              <c:strCache>
                <c:ptCount val="3"/>
                <c:pt idx="0">
                  <c:v>Côte d’Ivoire</c:v>
                </c:pt>
                <c:pt idx="1">
                  <c:v>Nigeria</c:v>
                </c:pt>
                <c:pt idx="2">
                  <c:v>Tanzania</c:v>
                </c:pt>
              </c:strCache>
            </c:strRef>
          </c:cat>
          <c:val>
            <c:numRef>
              <c:f>Analysis!$Q$5:$Q$8</c:f>
              <c:numCache>
                <c:formatCode>_-[$₦-469]\ * #,##0_-;\-[$₦-469]\ * #,##0_-;_-[$₦-469]\ * "-"??_-;_-@_-</c:formatCode>
                <c:ptCount val="3"/>
                <c:pt idx="0">
                  <c:v>260670000</c:v>
                </c:pt>
                <c:pt idx="1">
                  <c:v>213105000</c:v>
                </c:pt>
                <c:pt idx="2">
                  <c:v>220905000</c:v>
                </c:pt>
              </c:numCache>
            </c:numRef>
          </c:val>
          <c:extLst>
            <c:ext xmlns:c16="http://schemas.microsoft.com/office/drawing/2014/chart" uri="{C3380CC4-5D6E-409C-BE32-E72D297353CC}">
              <c16:uniqueId val="{00000001-14A1-4CA6-B1E7-9432D88D8D5A}"/>
            </c:ext>
          </c:extLst>
        </c:ser>
        <c:ser>
          <c:idx val="2"/>
          <c:order val="2"/>
          <c:tx>
            <c:strRef>
              <c:f>Analysis!$R$3:$R$4</c:f>
              <c:strCache>
                <c:ptCount val="1"/>
                <c:pt idx="0">
                  <c:v>Rice (50kg Bag)</c:v>
                </c:pt>
              </c:strCache>
            </c:strRef>
          </c:tx>
          <c:spPr>
            <a:solidFill>
              <a:srgbClr val="EBCB6B"/>
            </a:solidFill>
            <a:ln>
              <a:noFill/>
            </a:ln>
            <a:effectLst/>
          </c:spPr>
          <c:invertIfNegative val="0"/>
          <c:cat>
            <c:strRef>
              <c:f>Analysis!$O$5:$O$8</c:f>
              <c:strCache>
                <c:ptCount val="3"/>
                <c:pt idx="0">
                  <c:v>Côte d’Ivoire</c:v>
                </c:pt>
                <c:pt idx="1">
                  <c:v>Nigeria</c:v>
                </c:pt>
                <c:pt idx="2">
                  <c:v>Tanzania</c:v>
                </c:pt>
              </c:strCache>
            </c:strRef>
          </c:cat>
          <c:val>
            <c:numRef>
              <c:f>Analysis!$R$5:$R$8</c:f>
              <c:numCache>
                <c:formatCode>_-[$₦-469]\ * #,##0_-;\-[$₦-469]\ * #,##0_-;_-[$₦-469]\ * "-"??_-;_-@_-</c:formatCode>
                <c:ptCount val="3"/>
                <c:pt idx="0">
                  <c:v>685980000</c:v>
                </c:pt>
                <c:pt idx="1">
                  <c:v>1139940000</c:v>
                </c:pt>
                <c:pt idx="2">
                  <c:v>873315000</c:v>
                </c:pt>
              </c:numCache>
            </c:numRef>
          </c:val>
          <c:extLst>
            <c:ext xmlns:c16="http://schemas.microsoft.com/office/drawing/2014/chart" uri="{C3380CC4-5D6E-409C-BE32-E72D297353CC}">
              <c16:uniqueId val="{00000002-14A1-4CA6-B1E7-9432D88D8D5A}"/>
            </c:ext>
          </c:extLst>
        </c:ser>
        <c:dLbls>
          <c:showLegendKey val="0"/>
          <c:showVal val="0"/>
          <c:showCatName val="0"/>
          <c:showSerName val="0"/>
          <c:showPercent val="0"/>
          <c:showBubbleSize val="0"/>
        </c:dLbls>
        <c:gapWidth val="150"/>
        <c:overlap val="100"/>
        <c:axId val="1792611951"/>
        <c:axId val="1118192223"/>
      </c:barChart>
      <c:catAx>
        <c:axId val="179261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118192223"/>
        <c:crosses val="autoZero"/>
        <c:auto val="1"/>
        <c:lblAlgn val="ctr"/>
        <c:lblOffset val="100"/>
        <c:noMultiLvlLbl val="0"/>
      </c:catAx>
      <c:valAx>
        <c:axId val="1118192223"/>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792611951"/>
        <c:crosses val="autoZero"/>
        <c:crossBetween val="between"/>
      </c:valAx>
      <c:spPr>
        <a:noFill/>
        <a:ln>
          <a:noFill/>
        </a:ln>
        <a:effectLst/>
      </c:spPr>
    </c:plotArea>
    <c:legend>
      <c:legendPos val="b"/>
      <c:layout>
        <c:manualLayout>
          <c:xMode val="edge"/>
          <c:yMode val="edge"/>
          <c:x val="2.9596821230679499E-2"/>
          <c:y val="0.8713430187423753"/>
          <c:w val="0.93682742782152229"/>
          <c:h val="0.1286569812576244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[AfriMart_Sales_Dataset.xlsx]Analysis!PivotTable11</c:name>
    <c:fmtId val="2"/>
  </c:pivotSource>
  <c:chart>
    <c:title>
      <c:tx>
        <c:rich>
          <a:bodyPr rot="0" spcFirstLastPara="1" vertOverflow="ellipsis" vert="horz" wrap="square" anchor="ctr" anchorCtr="1"/>
          <a:lstStyle/>
          <a:p>
            <a:pPr>
              <a:defRPr sz="1400" b="0" i="0" u="none" strike="noStrike" kern="1200" spc="0" baseline="0">
                <a:solidFill>
                  <a:srgbClr val="EBCB6B"/>
                </a:solidFill>
                <a:latin typeface="+mn-lt"/>
                <a:ea typeface="+mn-ea"/>
                <a:cs typeface="+mn-cs"/>
              </a:defRPr>
            </a:pPr>
            <a:r>
              <a:rPr lang="en-US" sz="1100" b="1">
                <a:solidFill>
                  <a:srgbClr val="EBCB6B"/>
                </a:solidFill>
              </a:rPr>
              <a:t>Top</a:t>
            </a:r>
            <a:r>
              <a:rPr lang="en-US" sz="1100" b="1" baseline="0">
                <a:solidFill>
                  <a:srgbClr val="EBCB6B"/>
                </a:solidFill>
              </a:rPr>
              <a:t> 5 Products by Profit</a:t>
            </a:r>
            <a:endParaRPr lang="en-US" sz="1100" b="1">
              <a:solidFill>
                <a:srgbClr val="EBCB6B"/>
              </a:solidFill>
            </a:endParaRPr>
          </a:p>
        </c:rich>
      </c:tx>
      <c:layout>
        <c:manualLayout>
          <c:xMode val="edge"/>
          <c:yMode val="edge"/>
          <c:x val="0.2426802319813116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EBCB6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CB6B"/>
          </a:solidFill>
          <a:ln>
            <a:noFill/>
          </a:ln>
          <a:effectLst/>
        </c:spPr>
      </c:pivotFmt>
    </c:pivotFmts>
    <c:plotArea>
      <c:layout>
        <c:manualLayout>
          <c:layoutTarget val="inner"/>
          <c:xMode val="edge"/>
          <c:yMode val="edge"/>
          <c:x val="0.36847074528055129"/>
          <c:y val="0.17819480898221055"/>
          <c:w val="0.52774918599092635"/>
          <c:h val="0.64428915135608045"/>
        </c:manualLayout>
      </c:layout>
      <c:barChart>
        <c:barDir val="bar"/>
        <c:grouping val="clustered"/>
        <c:varyColors val="0"/>
        <c:ser>
          <c:idx val="0"/>
          <c:order val="0"/>
          <c:tx>
            <c:strRef>
              <c:f>Analysis!$AC$3</c:f>
              <c:strCache>
                <c:ptCount val="1"/>
                <c:pt idx="0">
                  <c:v>Total</c:v>
                </c:pt>
              </c:strCache>
            </c:strRef>
          </c:tx>
          <c:spPr>
            <a:solidFill>
              <a:srgbClr val="2E8B57"/>
            </a:solidFill>
            <a:ln>
              <a:noFill/>
            </a:ln>
            <a:effectLst/>
          </c:spPr>
          <c:invertIfNegative val="0"/>
          <c:dPt>
            <c:idx val="4"/>
            <c:invertIfNegative val="0"/>
            <c:bubble3D val="0"/>
            <c:spPr>
              <a:solidFill>
                <a:srgbClr val="EBCB6B"/>
              </a:solidFill>
              <a:ln>
                <a:noFill/>
              </a:ln>
              <a:effectLst/>
            </c:spPr>
            <c:extLst>
              <c:ext xmlns:c16="http://schemas.microsoft.com/office/drawing/2014/chart" uri="{C3380CC4-5D6E-409C-BE32-E72D297353CC}">
                <c16:uniqueId val="{00000001-0BB7-44C6-9F9E-6012E75F17A0}"/>
              </c:ext>
            </c:extLst>
          </c:dPt>
          <c:cat>
            <c:strRef>
              <c:f>Analysis!$AB$4:$AB$9</c:f>
              <c:strCache>
                <c:ptCount val="5"/>
                <c:pt idx="0">
                  <c:v>Cement (50kg)</c:v>
                </c:pt>
                <c:pt idx="1">
                  <c:v>Detergent (1kg)</c:v>
                </c:pt>
                <c:pt idx="2">
                  <c:v>Mobile Data Bundle</c:v>
                </c:pt>
                <c:pt idx="3">
                  <c:v>Palm Oil (5L)</c:v>
                </c:pt>
                <c:pt idx="4">
                  <c:v>Rice (50kg Bag)</c:v>
                </c:pt>
              </c:strCache>
            </c:strRef>
          </c:cat>
          <c:val>
            <c:numRef>
              <c:f>Analysis!$AC$4:$AC$9</c:f>
              <c:numCache>
                <c:formatCode>_-[$₦-469]\ * #,##0_-;\-[$₦-469]\ * #,##0_-;_-[$₦-469]\ * "-"??_-;_-@_-</c:formatCode>
                <c:ptCount val="5"/>
                <c:pt idx="0">
                  <c:v>111873600</c:v>
                </c:pt>
                <c:pt idx="1">
                  <c:v>140713200</c:v>
                </c:pt>
                <c:pt idx="2">
                  <c:v>178723200</c:v>
                </c:pt>
                <c:pt idx="3">
                  <c:v>604692000</c:v>
                </c:pt>
                <c:pt idx="4">
                  <c:v>955836000</c:v>
                </c:pt>
              </c:numCache>
            </c:numRef>
          </c:val>
          <c:extLst>
            <c:ext xmlns:c16="http://schemas.microsoft.com/office/drawing/2014/chart" uri="{C3380CC4-5D6E-409C-BE32-E72D297353CC}">
              <c16:uniqueId val="{00000000-0BB7-44C6-9F9E-6012E75F17A0}"/>
            </c:ext>
          </c:extLst>
        </c:ser>
        <c:dLbls>
          <c:showLegendKey val="0"/>
          <c:showVal val="0"/>
          <c:showCatName val="0"/>
          <c:showSerName val="0"/>
          <c:showPercent val="0"/>
          <c:showBubbleSize val="0"/>
        </c:dLbls>
        <c:gapWidth val="182"/>
        <c:axId val="1811210575"/>
        <c:axId val="1118194623"/>
      </c:barChart>
      <c:catAx>
        <c:axId val="181121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118194623"/>
        <c:crosses val="autoZero"/>
        <c:auto val="1"/>
        <c:lblAlgn val="ctr"/>
        <c:lblOffset val="100"/>
        <c:noMultiLvlLbl val="0"/>
      </c:catAx>
      <c:valAx>
        <c:axId val="1118194623"/>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811210575"/>
        <c:crosses val="autoZero"/>
        <c:crossBetween val="between"/>
      </c:valAx>
      <c:spPr>
        <a:solidFill>
          <a:srgbClr val="2A332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BCB6B"/>
                </a:solidFill>
              </a:rPr>
              <a:t>Revenue</a:t>
            </a:r>
            <a:r>
              <a:rPr lang="en-US" b="1" baseline="0">
                <a:solidFill>
                  <a:srgbClr val="EBCB6B"/>
                </a:solidFill>
              </a:rPr>
              <a:t> Trend Over Time</a:t>
            </a:r>
            <a:endParaRPr lang="en-US" b="1">
              <a:solidFill>
                <a:srgbClr val="EBCB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BCB6B"/>
            </a:solidFill>
            <a:round/>
          </a:ln>
          <a:effectLst/>
        </c:spPr>
        <c:marker>
          <c:symbol val="circle"/>
          <c:size val="7"/>
          <c:spPr>
            <a:solidFill>
              <a:srgbClr val="2E8B57"/>
            </a:solidFill>
            <a:ln w="31750">
              <a:solidFill>
                <a:srgbClr val="0A4D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2414807981637"/>
          <c:y val="0.1951319242989363"/>
          <c:w val="0.7363924488518433"/>
          <c:h val="0.64314200856471893"/>
        </c:manualLayout>
      </c:layout>
      <c:lineChart>
        <c:grouping val="standard"/>
        <c:varyColors val="0"/>
        <c:ser>
          <c:idx val="0"/>
          <c:order val="0"/>
          <c:tx>
            <c:strRef>
              <c:f>Analysis!$J$3</c:f>
              <c:strCache>
                <c:ptCount val="1"/>
                <c:pt idx="0">
                  <c:v>Total</c:v>
                </c:pt>
              </c:strCache>
            </c:strRef>
          </c:tx>
          <c:spPr>
            <a:ln w="28575" cap="rnd">
              <a:solidFill>
                <a:srgbClr val="EBCB6B"/>
              </a:solidFill>
              <a:round/>
            </a:ln>
            <a:effectLst/>
          </c:spPr>
          <c:marker>
            <c:symbol val="circle"/>
            <c:size val="7"/>
            <c:spPr>
              <a:solidFill>
                <a:srgbClr val="2E8B57"/>
              </a:solidFill>
              <a:ln w="31750">
                <a:solidFill>
                  <a:srgbClr val="0A4D2E"/>
                </a:solidFill>
              </a:ln>
              <a:effectLst/>
            </c:spPr>
          </c:marker>
          <c:cat>
            <c:strRef>
              <c:f>Analysis!$I$4:$I$7</c:f>
              <c:strCache>
                <c:ptCount val="3"/>
                <c:pt idx="0">
                  <c:v>2024</c:v>
                </c:pt>
                <c:pt idx="1">
                  <c:v>2025</c:v>
                </c:pt>
                <c:pt idx="2">
                  <c:v>2026</c:v>
                </c:pt>
              </c:strCache>
            </c:strRef>
          </c:cat>
          <c:val>
            <c:numRef>
              <c:f>Analysis!$J$4:$J$7</c:f>
              <c:numCache>
                <c:formatCode>_-[$₦-469]\ * #,##0_-;\-[$₦-469]\ * #,##0_-;_-[$₦-469]\ * "-"??_-;_-@_-</c:formatCode>
                <c:ptCount val="3"/>
                <c:pt idx="0">
                  <c:v>3129927800</c:v>
                </c:pt>
                <c:pt idx="1">
                  <c:v>3847142200</c:v>
                </c:pt>
                <c:pt idx="2">
                  <c:v>3470466600</c:v>
                </c:pt>
              </c:numCache>
            </c:numRef>
          </c:val>
          <c:smooth val="0"/>
          <c:extLst>
            <c:ext xmlns:c16="http://schemas.microsoft.com/office/drawing/2014/chart" uri="{C3380CC4-5D6E-409C-BE32-E72D297353CC}">
              <c16:uniqueId val="{00000000-F901-462C-A60B-E467760BA63F}"/>
            </c:ext>
          </c:extLst>
        </c:ser>
        <c:dLbls>
          <c:showLegendKey val="0"/>
          <c:showVal val="0"/>
          <c:showCatName val="0"/>
          <c:showSerName val="0"/>
          <c:showPercent val="0"/>
          <c:showBubbleSize val="0"/>
        </c:dLbls>
        <c:marker val="1"/>
        <c:smooth val="0"/>
        <c:axId val="1792607311"/>
        <c:axId val="1352246591"/>
      </c:lineChart>
      <c:catAx>
        <c:axId val="17926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52246591"/>
        <c:crosses val="autoZero"/>
        <c:auto val="1"/>
        <c:lblAlgn val="ctr"/>
        <c:lblOffset val="100"/>
        <c:noMultiLvlLbl val="0"/>
      </c:catAx>
      <c:valAx>
        <c:axId val="1352246591"/>
        <c:scaling>
          <c:orientation val="minMax"/>
        </c:scaling>
        <c:delete val="0"/>
        <c:axPos val="l"/>
        <c:majorGridlines>
          <c:spPr>
            <a:ln w="9525" cap="flat" cmpd="sng" algn="ctr">
              <a:solidFill>
                <a:schemeClr val="tx1">
                  <a:lumMod val="15000"/>
                  <a:lumOff val="85000"/>
                </a:schemeClr>
              </a:solidFill>
              <a:round/>
            </a:ln>
            <a:effectLst/>
          </c:spPr>
        </c:majorGridlines>
        <c:numFmt formatCode="_-[$₦-469]\ * #,##0_-;\-[$₦-469]\ * #,##0_-;_-[$₦-469]\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79260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EBCB6B"/>
                </a:solidFill>
              </a:rPr>
              <a:t>Profit</a:t>
            </a:r>
            <a:r>
              <a:rPr lang="en-US" sz="1400" b="1" baseline="0">
                <a:solidFill>
                  <a:srgbClr val="EBCB6B"/>
                </a:solidFill>
              </a:rPr>
              <a:t> by Country</a:t>
            </a:r>
            <a:endParaRPr lang="en-US" sz="1400" b="1">
              <a:solidFill>
                <a:srgbClr val="EBCB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CB6B"/>
          </a:solidFill>
          <a:ln>
            <a:noFill/>
          </a:ln>
          <a:effectLst/>
        </c:spPr>
      </c:pivotFmt>
    </c:pivotFmts>
    <c:plotArea>
      <c:layout/>
      <c:barChart>
        <c:barDir val="col"/>
        <c:grouping val="stacked"/>
        <c:varyColors val="0"/>
        <c:ser>
          <c:idx val="0"/>
          <c:order val="0"/>
          <c:tx>
            <c:strRef>
              <c:f>Analysis!$M$3</c:f>
              <c:strCache>
                <c:ptCount val="1"/>
                <c:pt idx="0">
                  <c:v>Total</c:v>
                </c:pt>
              </c:strCache>
            </c:strRef>
          </c:tx>
          <c:spPr>
            <a:solidFill>
              <a:srgbClr val="2E8B57"/>
            </a:solidFill>
            <a:ln>
              <a:noFill/>
            </a:ln>
            <a:effectLst/>
          </c:spPr>
          <c:invertIfNegative val="0"/>
          <c:dPt>
            <c:idx val="4"/>
            <c:invertIfNegative val="0"/>
            <c:bubble3D val="0"/>
            <c:spPr>
              <a:solidFill>
                <a:srgbClr val="EBCB6B"/>
              </a:solidFill>
              <a:ln>
                <a:noFill/>
              </a:ln>
              <a:effectLst/>
            </c:spPr>
            <c:extLst>
              <c:ext xmlns:c16="http://schemas.microsoft.com/office/drawing/2014/chart" uri="{C3380CC4-5D6E-409C-BE32-E72D297353CC}">
                <c16:uniqueId val="{00000001-BBA7-47C8-960A-18462BFF7549}"/>
              </c:ext>
            </c:extLst>
          </c:dPt>
          <c:cat>
            <c:strRef>
              <c:f>Analysis!$L$4:$L$14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Analysis!$M$4:$M$14</c:f>
              <c:numCache>
                <c:formatCode>_-[$₦-469]\ * #,##0_-;\-[$₦-469]\ * #,##0_-;_-[$₦-469]\ * "-"??_-;_-@_-</c:formatCode>
                <c:ptCount val="10"/>
                <c:pt idx="0">
                  <c:v>237371300</c:v>
                </c:pt>
                <c:pt idx="1">
                  <c:v>181420300</c:v>
                </c:pt>
                <c:pt idx="2">
                  <c:v>194985300</c:v>
                </c:pt>
                <c:pt idx="3">
                  <c:v>229987650</c:v>
                </c:pt>
                <c:pt idx="4">
                  <c:v>302613800</c:v>
                </c:pt>
                <c:pt idx="5">
                  <c:v>225940050</c:v>
                </c:pt>
                <c:pt idx="6">
                  <c:v>147821550</c:v>
                </c:pt>
                <c:pt idx="7">
                  <c:v>164997350</c:v>
                </c:pt>
                <c:pt idx="8">
                  <c:v>237119250</c:v>
                </c:pt>
                <c:pt idx="9">
                  <c:v>177112700</c:v>
                </c:pt>
              </c:numCache>
            </c:numRef>
          </c:val>
          <c:extLst>
            <c:ext xmlns:c16="http://schemas.microsoft.com/office/drawing/2014/chart" uri="{C3380CC4-5D6E-409C-BE32-E72D297353CC}">
              <c16:uniqueId val="{00000000-BBA7-47C8-960A-18462BFF7549}"/>
            </c:ext>
          </c:extLst>
        </c:ser>
        <c:dLbls>
          <c:showLegendKey val="0"/>
          <c:showVal val="0"/>
          <c:showCatName val="0"/>
          <c:showSerName val="0"/>
          <c:showPercent val="0"/>
          <c:showBubbleSize val="0"/>
        </c:dLbls>
        <c:gapWidth val="150"/>
        <c:overlap val="100"/>
        <c:axId val="1932505631"/>
        <c:axId val="1918904383"/>
      </c:barChart>
      <c:catAx>
        <c:axId val="193250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918904383"/>
        <c:crosses val="autoZero"/>
        <c:auto val="1"/>
        <c:lblAlgn val="ctr"/>
        <c:lblOffset val="100"/>
        <c:noMultiLvlLbl val="0"/>
      </c:catAx>
      <c:valAx>
        <c:axId val="191890438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93250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2A33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hyperlink" Target="#Analysis!A1"/><Relationship Id="rId3" Type="http://schemas.openxmlformats.org/officeDocument/2006/relationships/chart" Target="../charts/chart1.xml"/><Relationship Id="rId21"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2.sv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7.png"/><Relationship Id="rId24" Type="http://schemas.openxmlformats.org/officeDocument/2006/relationships/chart" Target="../charts/chart5.xml"/><Relationship Id="rId5" Type="http://schemas.openxmlformats.org/officeDocument/2006/relationships/chart" Target="../charts/chart3.xml"/><Relationship Id="rId15" Type="http://schemas.openxmlformats.org/officeDocument/2006/relationships/hyperlink" Target="#Data!A1"/><Relationship Id="rId23" Type="http://schemas.openxmlformats.org/officeDocument/2006/relationships/image" Target="../media/image16.svg"/><Relationship Id="rId10" Type="http://schemas.openxmlformats.org/officeDocument/2006/relationships/image" Target="../media/image6.svg"/><Relationship Id="rId19" Type="http://schemas.openxmlformats.org/officeDocument/2006/relationships/image" Target="../media/image13.pn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57150</xdr:colOff>
      <xdr:row>3</xdr:row>
      <xdr:rowOff>108500</xdr:rowOff>
    </xdr:from>
    <xdr:to>
      <xdr:col>16</xdr:col>
      <xdr:colOff>142875</xdr:colOff>
      <xdr:row>3</xdr:row>
      <xdr:rowOff>154219</xdr:rowOff>
    </xdr:to>
    <xdr:sp macro="" textlink="">
      <xdr:nvSpPr>
        <xdr:cNvPr id="2" name="Rectangle 1">
          <a:extLst>
            <a:ext uri="{FF2B5EF4-FFF2-40B4-BE49-F238E27FC236}">
              <a16:creationId xmlns:a16="http://schemas.microsoft.com/office/drawing/2014/main" id="{494F3A9B-FD36-9CF4-214F-46D7D343E4F2}"/>
            </a:ext>
          </a:extLst>
        </xdr:cNvPr>
        <xdr:cNvSpPr/>
      </xdr:nvSpPr>
      <xdr:spPr>
        <a:xfrm flipV="1">
          <a:off x="57150" y="655152"/>
          <a:ext cx="11085029" cy="45719"/>
        </a:xfrm>
        <a:prstGeom prst="rect">
          <a:avLst/>
        </a:prstGeom>
        <a:solidFill>
          <a:srgbClr val="EBCB6B"/>
        </a:solidFill>
        <a:ln>
          <a:solidFill>
            <a:srgbClr val="EBCB6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415786</xdr:colOff>
      <xdr:row>0</xdr:row>
      <xdr:rowOff>158199</xdr:rowOff>
    </xdr:from>
    <xdr:to>
      <xdr:col>6</xdr:col>
      <xdr:colOff>520562</xdr:colOff>
      <xdr:row>3</xdr:row>
      <xdr:rowOff>91524</xdr:rowOff>
    </xdr:to>
    <xdr:sp macro="" textlink="">
      <xdr:nvSpPr>
        <xdr:cNvPr id="3" name="TextBox 2">
          <a:extLst>
            <a:ext uri="{FF2B5EF4-FFF2-40B4-BE49-F238E27FC236}">
              <a16:creationId xmlns:a16="http://schemas.microsoft.com/office/drawing/2014/main" id="{E6188A5F-95A8-3177-2BDD-64F2583DD9B9}"/>
            </a:ext>
          </a:extLst>
        </xdr:cNvPr>
        <xdr:cNvSpPr txBox="1"/>
      </xdr:nvSpPr>
      <xdr:spPr>
        <a:xfrm>
          <a:off x="1103243" y="158199"/>
          <a:ext cx="3542058" cy="479977"/>
        </a:xfrm>
        <a:prstGeom prst="rect">
          <a:avLst/>
        </a:prstGeom>
        <a:solidFill>
          <a:srgbClr val="2A33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EBCB6B"/>
              </a:solidFill>
            </a:rPr>
            <a:t>Afri</a:t>
          </a:r>
          <a:r>
            <a:rPr lang="en-US" sz="2400" b="1">
              <a:solidFill>
                <a:srgbClr val="2E8B57"/>
              </a:solidFill>
            </a:rPr>
            <a:t>M</a:t>
          </a:r>
          <a:r>
            <a:rPr lang="en-US" sz="2400" b="1">
              <a:solidFill>
                <a:srgbClr val="EBCB6B"/>
              </a:solidFill>
            </a:rPr>
            <a:t>art </a:t>
          </a:r>
          <a:r>
            <a:rPr lang="en-US" sz="2400" b="1" baseline="0">
              <a:solidFill>
                <a:srgbClr val="EBCB6B"/>
              </a:solidFill>
            </a:rPr>
            <a:t>Dash</a:t>
          </a:r>
          <a:r>
            <a:rPr lang="en-US" sz="2400" b="1" baseline="0">
              <a:solidFill>
                <a:srgbClr val="2E8B57"/>
              </a:solidFill>
            </a:rPr>
            <a:t>board</a:t>
          </a:r>
          <a:endParaRPr lang="en-US" sz="2400" b="1">
            <a:solidFill>
              <a:srgbClr val="2E8B57"/>
            </a:solidFill>
          </a:endParaRPr>
        </a:p>
      </xdr:txBody>
    </xdr:sp>
    <xdr:clientData/>
  </xdr:twoCellAnchor>
  <xdr:twoCellAnchor>
    <xdr:from>
      <xdr:col>1</xdr:col>
      <xdr:colOff>76200</xdr:colOff>
      <xdr:row>2</xdr:row>
      <xdr:rowOff>142875</xdr:rowOff>
    </xdr:from>
    <xdr:to>
      <xdr:col>4</xdr:col>
      <xdr:colOff>647700</xdr:colOff>
      <xdr:row>3</xdr:row>
      <xdr:rowOff>95249</xdr:rowOff>
    </xdr:to>
    <xdr:sp macro="" textlink="">
      <xdr:nvSpPr>
        <xdr:cNvPr id="4" name="TextBox 3">
          <a:extLst>
            <a:ext uri="{FF2B5EF4-FFF2-40B4-BE49-F238E27FC236}">
              <a16:creationId xmlns:a16="http://schemas.microsoft.com/office/drawing/2014/main" id="{21CDB801-B09C-387A-7064-E54B89EF712E}"/>
            </a:ext>
          </a:extLst>
        </xdr:cNvPr>
        <xdr:cNvSpPr txBox="1"/>
      </xdr:nvSpPr>
      <xdr:spPr>
        <a:xfrm>
          <a:off x="762000" y="504825"/>
          <a:ext cx="2628900" cy="133349"/>
        </a:xfrm>
        <a:prstGeom prst="rect">
          <a:avLst/>
        </a:prstGeom>
        <a:solidFill>
          <a:srgbClr val="2A33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solidFill>
                <a:srgbClr val="4A7C59"/>
              </a:solidFill>
            </a:rPr>
            <a:t>Sales Dashboard. African Retail Analytics</a:t>
          </a:r>
        </a:p>
      </xdr:txBody>
    </xdr:sp>
    <xdr:clientData/>
  </xdr:twoCellAnchor>
  <xdr:twoCellAnchor editAs="oneCell">
    <xdr:from>
      <xdr:col>1</xdr:col>
      <xdr:colOff>274982</xdr:colOff>
      <xdr:row>0</xdr:row>
      <xdr:rowOff>4970</xdr:rowOff>
    </xdr:from>
    <xdr:to>
      <xdr:col>2</xdr:col>
      <xdr:colOff>294031</xdr:colOff>
      <xdr:row>2</xdr:row>
      <xdr:rowOff>177662</xdr:rowOff>
    </xdr:to>
    <xdr:pic>
      <xdr:nvPicPr>
        <xdr:cNvPr id="6" name="Graphic 5" descr="Africa with solid fill">
          <a:extLst>
            <a:ext uri="{FF2B5EF4-FFF2-40B4-BE49-F238E27FC236}">
              <a16:creationId xmlns:a16="http://schemas.microsoft.com/office/drawing/2014/main" id="{4EBDBA60-4263-9E87-6E54-B3A452984E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2439" y="4970"/>
          <a:ext cx="706505" cy="537127"/>
        </a:xfrm>
        <a:prstGeom prst="rect">
          <a:avLst/>
        </a:prstGeom>
      </xdr:spPr>
    </xdr:pic>
    <xdr:clientData/>
  </xdr:twoCellAnchor>
  <xdr:twoCellAnchor>
    <xdr:from>
      <xdr:col>0</xdr:col>
      <xdr:colOff>47625</xdr:colOff>
      <xdr:row>4</xdr:row>
      <xdr:rowOff>0</xdr:rowOff>
    </xdr:from>
    <xdr:to>
      <xdr:col>3</xdr:col>
      <xdr:colOff>142876</xdr:colOff>
      <xdr:row>7</xdr:row>
      <xdr:rowOff>161163</xdr:rowOff>
    </xdr:to>
    <xdr:sp macro="" textlink="">
      <xdr:nvSpPr>
        <xdr:cNvPr id="16" name="Rectangle: Rounded Corners 15">
          <a:extLst>
            <a:ext uri="{FF2B5EF4-FFF2-40B4-BE49-F238E27FC236}">
              <a16:creationId xmlns:a16="http://schemas.microsoft.com/office/drawing/2014/main" id="{EEFB496C-0940-385D-8EAF-3090D3FDEC74}"/>
            </a:ext>
          </a:extLst>
        </xdr:cNvPr>
        <xdr:cNvSpPr/>
      </xdr:nvSpPr>
      <xdr:spPr>
        <a:xfrm>
          <a:off x="47625" y="723900"/>
          <a:ext cx="2152651" cy="704088"/>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533399</xdr:colOff>
      <xdr:row>4</xdr:row>
      <xdr:rowOff>47624</xdr:rowOff>
    </xdr:from>
    <xdr:to>
      <xdr:col>13</xdr:col>
      <xdr:colOff>9524</xdr:colOff>
      <xdr:row>8</xdr:row>
      <xdr:rowOff>9525</xdr:rowOff>
    </xdr:to>
    <xdr:sp macro="" textlink="">
      <xdr:nvSpPr>
        <xdr:cNvPr id="18" name="Rectangle: Rounded Corners 17">
          <a:extLst>
            <a:ext uri="{FF2B5EF4-FFF2-40B4-BE49-F238E27FC236}">
              <a16:creationId xmlns:a16="http://schemas.microsoft.com/office/drawing/2014/main" id="{8930266B-257D-4805-9FA8-90919C06823D}"/>
            </a:ext>
          </a:extLst>
        </xdr:cNvPr>
        <xdr:cNvSpPr/>
      </xdr:nvSpPr>
      <xdr:spPr>
        <a:xfrm>
          <a:off x="6705599" y="771524"/>
          <a:ext cx="2219325" cy="685801"/>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361951</xdr:colOff>
      <xdr:row>4</xdr:row>
      <xdr:rowOff>9525</xdr:rowOff>
    </xdr:from>
    <xdr:to>
      <xdr:col>9</xdr:col>
      <xdr:colOff>453391</xdr:colOff>
      <xdr:row>7</xdr:row>
      <xdr:rowOff>170688</xdr:rowOff>
    </xdr:to>
    <xdr:sp macro="" textlink="">
      <xdr:nvSpPr>
        <xdr:cNvPr id="19" name="Rectangle: Rounded Corners 18">
          <a:extLst>
            <a:ext uri="{FF2B5EF4-FFF2-40B4-BE49-F238E27FC236}">
              <a16:creationId xmlns:a16="http://schemas.microsoft.com/office/drawing/2014/main" id="{368D4FB7-60AB-43A6-A040-967CE01D56F9}"/>
            </a:ext>
          </a:extLst>
        </xdr:cNvPr>
        <xdr:cNvSpPr/>
      </xdr:nvSpPr>
      <xdr:spPr>
        <a:xfrm>
          <a:off x="4476751" y="733425"/>
          <a:ext cx="2148840" cy="704088"/>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8</xdr:row>
      <xdr:rowOff>19051</xdr:rowOff>
    </xdr:from>
    <xdr:to>
      <xdr:col>6</xdr:col>
      <xdr:colOff>209550</xdr:colOff>
      <xdr:row>16</xdr:row>
      <xdr:rowOff>38100</xdr:rowOff>
    </xdr:to>
    <xdr:graphicFrame macro="">
      <xdr:nvGraphicFramePr>
        <xdr:cNvPr id="23" name="Chart 22">
          <a:extLst>
            <a:ext uri="{FF2B5EF4-FFF2-40B4-BE49-F238E27FC236}">
              <a16:creationId xmlns:a16="http://schemas.microsoft.com/office/drawing/2014/main" id="{9C89DD8B-89B7-4EBE-960F-C055BBA63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657226</xdr:colOff>
      <xdr:row>16</xdr:row>
      <xdr:rowOff>66676</xdr:rowOff>
    </xdr:from>
    <xdr:to>
      <xdr:col>8</xdr:col>
      <xdr:colOff>657226</xdr:colOff>
      <xdr:row>23</xdr:row>
      <xdr:rowOff>152401</xdr:rowOff>
    </xdr:to>
    <xdr:graphicFrame macro="">
      <xdr:nvGraphicFramePr>
        <xdr:cNvPr id="25" name="Chart 24">
          <a:extLst>
            <a:ext uri="{FF2B5EF4-FFF2-40B4-BE49-F238E27FC236}">
              <a16:creationId xmlns:a16="http://schemas.microsoft.com/office/drawing/2014/main" id="{94BB72D0-5DD5-4E6A-B0B2-15CFE2D7F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676275</xdr:colOff>
      <xdr:row>16</xdr:row>
      <xdr:rowOff>57151</xdr:rowOff>
    </xdr:from>
    <xdr:to>
      <xdr:col>13</xdr:col>
      <xdr:colOff>19050</xdr:colOff>
      <xdr:row>23</xdr:row>
      <xdr:rowOff>161926</xdr:rowOff>
    </xdr:to>
    <xdr:graphicFrame macro="">
      <xdr:nvGraphicFramePr>
        <xdr:cNvPr id="26" name="Chart 25">
          <a:extLst>
            <a:ext uri="{FF2B5EF4-FFF2-40B4-BE49-F238E27FC236}">
              <a16:creationId xmlns:a16="http://schemas.microsoft.com/office/drawing/2014/main" id="{84FDFB8D-8959-403B-B120-6FB10D8BB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247650</xdr:colOff>
      <xdr:row>8</xdr:row>
      <xdr:rowOff>28575</xdr:rowOff>
    </xdr:from>
    <xdr:to>
      <xdr:col>13</xdr:col>
      <xdr:colOff>0</xdr:colOff>
      <xdr:row>16</xdr:row>
      <xdr:rowOff>28575</xdr:rowOff>
    </xdr:to>
    <xdr:graphicFrame macro="">
      <xdr:nvGraphicFramePr>
        <xdr:cNvPr id="27" name="Chart 26">
          <a:extLst>
            <a:ext uri="{FF2B5EF4-FFF2-40B4-BE49-F238E27FC236}">
              <a16:creationId xmlns:a16="http://schemas.microsoft.com/office/drawing/2014/main" id="{C3EFB4FD-4FCB-4AF9-B088-633473B59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647700</xdr:colOff>
      <xdr:row>5</xdr:row>
      <xdr:rowOff>28575</xdr:rowOff>
    </xdr:from>
    <xdr:to>
      <xdr:col>2</xdr:col>
      <xdr:colOff>600076</xdr:colOff>
      <xdr:row>7</xdr:row>
      <xdr:rowOff>66675</xdr:rowOff>
    </xdr:to>
    <xdr:sp macro="" textlink="Analysis!B15">
      <xdr:nvSpPr>
        <xdr:cNvPr id="28" name="TextBox 27">
          <a:extLst>
            <a:ext uri="{FF2B5EF4-FFF2-40B4-BE49-F238E27FC236}">
              <a16:creationId xmlns:a16="http://schemas.microsoft.com/office/drawing/2014/main" id="{231D4039-1963-9195-9FD3-1CAF2C49D2A7}"/>
            </a:ext>
          </a:extLst>
        </xdr:cNvPr>
        <xdr:cNvSpPr txBox="1"/>
      </xdr:nvSpPr>
      <xdr:spPr>
        <a:xfrm>
          <a:off x="647700" y="933450"/>
          <a:ext cx="132397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8A91FC-5FEC-4742-82D5-C377B6A6F2D9}" type="TxLink">
            <a:rPr lang="en-US" sz="2400" b="0" i="0" u="none" strike="noStrike">
              <a:solidFill>
                <a:srgbClr val="EBCB6B"/>
              </a:solidFill>
              <a:latin typeface="Tw Cen MT"/>
              <a:ea typeface="+mn-ea"/>
              <a:cs typeface="+mn-cs"/>
            </a:rPr>
            <a:pPr marL="0" indent="0" algn="ctr"/>
            <a:t>#10.45B</a:t>
          </a:fld>
          <a:endParaRPr lang="en-US" sz="2400" b="0" i="0" u="none" strike="noStrike">
            <a:solidFill>
              <a:srgbClr val="EBCB6B"/>
            </a:solidFill>
            <a:latin typeface="Tw Cen MT"/>
            <a:ea typeface="+mn-ea"/>
            <a:cs typeface="+mn-cs"/>
          </a:endParaRPr>
        </a:p>
        <a:p>
          <a:pPr marL="0" indent="0" algn="ctr"/>
          <a:endParaRPr lang="en-US" sz="2400" b="0" i="0" u="none" strike="noStrike">
            <a:solidFill>
              <a:srgbClr val="EBCB6B"/>
            </a:solidFill>
            <a:latin typeface="Tw Cen MT"/>
            <a:ea typeface="+mn-ea"/>
            <a:cs typeface="+mn-cs"/>
          </a:endParaRPr>
        </a:p>
      </xdr:txBody>
    </xdr:sp>
    <xdr:clientData/>
  </xdr:twoCellAnchor>
  <xdr:twoCellAnchor>
    <xdr:from>
      <xdr:col>3</xdr:col>
      <xdr:colOff>209551</xdr:colOff>
      <xdr:row>3</xdr:row>
      <xdr:rowOff>161925</xdr:rowOff>
    </xdr:from>
    <xdr:to>
      <xdr:col>6</xdr:col>
      <xdr:colOff>300991</xdr:colOff>
      <xdr:row>7</xdr:row>
      <xdr:rowOff>142113</xdr:rowOff>
    </xdr:to>
    <xdr:sp macro="" textlink="">
      <xdr:nvSpPr>
        <xdr:cNvPr id="29" name="Rectangle: Rounded Corners 28">
          <a:extLst>
            <a:ext uri="{FF2B5EF4-FFF2-40B4-BE49-F238E27FC236}">
              <a16:creationId xmlns:a16="http://schemas.microsoft.com/office/drawing/2014/main" id="{4B0583E0-8673-431C-B7E0-16CE3E992229}"/>
            </a:ext>
          </a:extLst>
        </xdr:cNvPr>
        <xdr:cNvSpPr/>
      </xdr:nvSpPr>
      <xdr:spPr>
        <a:xfrm>
          <a:off x="2266951" y="704850"/>
          <a:ext cx="2148840" cy="704088"/>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5</xdr:row>
      <xdr:rowOff>9525</xdr:rowOff>
    </xdr:from>
    <xdr:to>
      <xdr:col>6</xdr:col>
      <xdr:colOff>209550</xdr:colOff>
      <xdr:row>7</xdr:row>
      <xdr:rowOff>9525</xdr:rowOff>
    </xdr:to>
    <xdr:sp macro="" textlink="Analysis!B16">
      <xdr:nvSpPr>
        <xdr:cNvPr id="30" name="TextBox 29">
          <a:extLst>
            <a:ext uri="{FF2B5EF4-FFF2-40B4-BE49-F238E27FC236}">
              <a16:creationId xmlns:a16="http://schemas.microsoft.com/office/drawing/2014/main" id="{1A758D99-6758-40B6-A20C-F52806E17F84}"/>
            </a:ext>
          </a:extLst>
        </xdr:cNvPr>
        <xdr:cNvSpPr txBox="1"/>
      </xdr:nvSpPr>
      <xdr:spPr>
        <a:xfrm>
          <a:off x="2971800" y="914400"/>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E0F5F1-6E87-4667-BD88-592CCB062C65}" type="TxLink">
            <a:rPr lang="en-US" sz="2400" b="0" i="0" u="none" strike="noStrike">
              <a:solidFill>
                <a:srgbClr val="EBCB6B"/>
              </a:solidFill>
              <a:latin typeface="Tw Cen MT"/>
            </a:rPr>
            <a:pPr algn="ctr"/>
            <a:t>#2.10B</a:t>
          </a:fld>
          <a:endParaRPr lang="en-US" sz="2400">
            <a:solidFill>
              <a:srgbClr val="EBCB6B"/>
            </a:solidFill>
          </a:endParaRPr>
        </a:p>
      </xdr:txBody>
    </xdr:sp>
    <xdr:clientData/>
  </xdr:twoCellAnchor>
  <xdr:twoCellAnchor>
    <xdr:from>
      <xdr:col>10</xdr:col>
      <xdr:colOff>352424</xdr:colOff>
      <xdr:row>5</xdr:row>
      <xdr:rowOff>66675</xdr:rowOff>
    </xdr:from>
    <xdr:to>
      <xdr:col>12</xdr:col>
      <xdr:colOff>438149</xdr:colOff>
      <xdr:row>7</xdr:row>
      <xdr:rowOff>66675</xdr:rowOff>
    </xdr:to>
    <xdr:sp macro="" textlink="Analysis!B18">
      <xdr:nvSpPr>
        <xdr:cNvPr id="31" name="TextBox 30">
          <a:extLst>
            <a:ext uri="{FF2B5EF4-FFF2-40B4-BE49-F238E27FC236}">
              <a16:creationId xmlns:a16="http://schemas.microsoft.com/office/drawing/2014/main" id="{6C83A1D6-0066-4FA7-B4D3-9E2B9D02ED61}"/>
            </a:ext>
          </a:extLst>
        </xdr:cNvPr>
        <xdr:cNvSpPr txBox="1"/>
      </xdr:nvSpPr>
      <xdr:spPr>
        <a:xfrm>
          <a:off x="7210424" y="971550"/>
          <a:ext cx="14573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1612B2-2C79-4149-9B17-DFCBB98F6512}" type="TxLink">
            <a:rPr lang="en-US" sz="2400" b="0" i="0" u="none" strike="noStrike">
              <a:solidFill>
                <a:srgbClr val="EBCB6B"/>
              </a:solidFill>
              <a:latin typeface="Tw Cen MT"/>
            </a:rPr>
            <a:pPr algn="ctr"/>
            <a:t>20%</a:t>
          </a:fld>
          <a:endParaRPr lang="en-US" sz="2400">
            <a:solidFill>
              <a:srgbClr val="EBCB6B"/>
            </a:solidFill>
          </a:endParaRPr>
        </a:p>
      </xdr:txBody>
    </xdr:sp>
    <xdr:clientData/>
  </xdr:twoCellAnchor>
  <xdr:twoCellAnchor>
    <xdr:from>
      <xdr:col>7</xdr:col>
      <xdr:colOff>114300</xdr:colOff>
      <xdr:row>5</xdr:row>
      <xdr:rowOff>57150</xdr:rowOff>
    </xdr:from>
    <xdr:to>
      <xdr:col>9</xdr:col>
      <xdr:colOff>352425</xdr:colOff>
      <xdr:row>7</xdr:row>
      <xdr:rowOff>57150</xdr:rowOff>
    </xdr:to>
    <xdr:sp macro="" textlink="Analysis!B17">
      <xdr:nvSpPr>
        <xdr:cNvPr id="32" name="TextBox 31">
          <a:extLst>
            <a:ext uri="{FF2B5EF4-FFF2-40B4-BE49-F238E27FC236}">
              <a16:creationId xmlns:a16="http://schemas.microsoft.com/office/drawing/2014/main" id="{04A07A40-0794-47E3-93F0-FBF58D383CEC}"/>
            </a:ext>
          </a:extLst>
        </xdr:cNvPr>
        <xdr:cNvSpPr txBox="1"/>
      </xdr:nvSpPr>
      <xdr:spPr>
        <a:xfrm>
          <a:off x="4914900" y="962025"/>
          <a:ext cx="16097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F92582-CCCA-42E5-A6B2-1066D88FADEC}" type="TxLink">
            <a:rPr lang="en-US" sz="2400" b="0" i="0" u="none" strike="noStrike">
              <a:solidFill>
                <a:srgbClr val="EBCB6B"/>
              </a:solidFill>
              <a:latin typeface="Tw Cen MT"/>
            </a:rPr>
            <a:pPr algn="ctr"/>
            <a:t> 1,017,885 </a:t>
          </a:fld>
          <a:r>
            <a:rPr lang="en-US" sz="2400" b="0" i="0" u="none" strike="noStrike">
              <a:solidFill>
                <a:srgbClr val="EBCB6B"/>
              </a:solidFill>
              <a:latin typeface="Tw Cen MT"/>
            </a:rPr>
            <a:t> </a:t>
          </a:r>
          <a:endParaRPr lang="en-US" sz="2400">
            <a:solidFill>
              <a:srgbClr val="EBCB6B"/>
            </a:solidFill>
          </a:endParaRPr>
        </a:p>
      </xdr:txBody>
    </xdr:sp>
    <xdr:clientData/>
  </xdr:twoCellAnchor>
  <xdr:twoCellAnchor editAs="oneCell">
    <xdr:from>
      <xdr:col>6</xdr:col>
      <xdr:colOff>390524</xdr:colOff>
      <xdr:row>4</xdr:row>
      <xdr:rowOff>133351</xdr:rowOff>
    </xdr:from>
    <xdr:to>
      <xdr:col>7</xdr:col>
      <xdr:colOff>219074</xdr:colOff>
      <xdr:row>7</xdr:row>
      <xdr:rowOff>104776</xdr:rowOff>
    </xdr:to>
    <xdr:pic>
      <xdr:nvPicPr>
        <xdr:cNvPr id="7" name="Graphic 6" descr="Box with solid fill">
          <a:extLst>
            <a:ext uri="{FF2B5EF4-FFF2-40B4-BE49-F238E27FC236}">
              <a16:creationId xmlns:a16="http://schemas.microsoft.com/office/drawing/2014/main" id="{C06505BE-AC83-9EE4-E5D2-A8C9DEE41F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05324" y="857251"/>
          <a:ext cx="514350" cy="514350"/>
        </a:xfrm>
        <a:prstGeom prst="rect">
          <a:avLst/>
        </a:prstGeom>
      </xdr:spPr>
    </xdr:pic>
    <xdr:clientData/>
  </xdr:twoCellAnchor>
  <xdr:twoCellAnchor editAs="oneCell">
    <xdr:from>
      <xdr:col>3</xdr:col>
      <xdr:colOff>333376</xdr:colOff>
      <xdr:row>4</xdr:row>
      <xdr:rowOff>114300</xdr:rowOff>
    </xdr:from>
    <xdr:to>
      <xdr:col>4</xdr:col>
      <xdr:colOff>127636</xdr:colOff>
      <xdr:row>7</xdr:row>
      <xdr:rowOff>47625</xdr:rowOff>
    </xdr:to>
    <xdr:pic>
      <xdr:nvPicPr>
        <xdr:cNvPr id="9" name="Graphic 8" descr="Upward trend outline">
          <a:extLst>
            <a:ext uri="{FF2B5EF4-FFF2-40B4-BE49-F238E27FC236}">
              <a16:creationId xmlns:a16="http://schemas.microsoft.com/office/drawing/2014/main" id="{47EBCE9D-16F6-91BE-2CA8-012FDEA998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90776" y="838200"/>
          <a:ext cx="480060" cy="476250"/>
        </a:xfrm>
        <a:prstGeom prst="rect">
          <a:avLst/>
        </a:prstGeom>
      </xdr:spPr>
    </xdr:pic>
    <xdr:clientData/>
  </xdr:twoCellAnchor>
  <xdr:twoCellAnchor editAs="oneCell">
    <xdr:from>
      <xdr:col>9</xdr:col>
      <xdr:colOff>631825</xdr:colOff>
      <xdr:row>4</xdr:row>
      <xdr:rowOff>133351</xdr:rowOff>
    </xdr:from>
    <xdr:to>
      <xdr:col>10</xdr:col>
      <xdr:colOff>542925</xdr:colOff>
      <xdr:row>7</xdr:row>
      <xdr:rowOff>115142</xdr:rowOff>
    </xdr:to>
    <xdr:pic>
      <xdr:nvPicPr>
        <xdr:cNvPr id="13" name="Graphic 12" descr="Bullseye outline">
          <a:extLst>
            <a:ext uri="{FF2B5EF4-FFF2-40B4-BE49-F238E27FC236}">
              <a16:creationId xmlns:a16="http://schemas.microsoft.com/office/drawing/2014/main" id="{CFD6FFE3-0A9E-E549-E8A7-0C8EB2A751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04025" y="857251"/>
          <a:ext cx="596900" cy="524716"/>
        </a:xfrm>
        <a:prstGeom prst="rect">
          <a:avLst/>
        </a:prstGeom>
      </xdr:spPr>
    </xdr:pic>
    <xdr:clientData/>
  </xdr:twoCellAnchor>
  <xdr:twoCellAnchor editAs="oneCell">
    <xdr:from>
      <xdr:col>0</xdr:col>
      <xdr:colOff>114300</xdr:colOff>
      <xdr:row>4</xdr:row>
      <xdr:rowOff>104775</xdr:rowOff>
    </xdr:from>
    <xdr:to>
      <xdr:col>0</xdr:col>
      <xdr:colOff>552450</xdr:colOff>
      <xdr:row>7</xdr:row>
      <xdr:rowOff>0</xdr:rowOff>
    </xdr:to>
    <xdr:pic>
      <xdr:nvPicPr>
        <xdr:cNvPr id="15" name="Graphic 14" descr="Money outline">
          <a:extLst>
            <a:ext uri="{FF2B5EF4-FFF2-40B4-BE49-F238E27FC236}">
              <a16:creationId xmlns:a16="http://schemas.microsoft.com/office/drawing/2014/main" id="{4CD0AA8D-B8FE-5025-4F65-7E39CC5545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4300" y="828675"/>
          <a:ext cx="438150" cy="438150"/>
        </a:xfrm>
        <a:prstGeom prst="rect">
          <a:avLst/>
        </a:prstGeom>
      </xdr:spPr>
    </xdr:pic>
    <xdr:clientData/>
  </xdr:twoCellAnchor>
  <xdr:twoCellAnchor>
    <xdr:from>
      <xdr:col>4</xdr:col>
      <xdr:colOff>552450</xdr:colOff>
      <xdr:row>3</xdr:row>
      <xdr:rowOff>171450</xdr:rowOff>
    </xdr:from>
    <xdr:to>
      <xdr:col>6</xdr:col>
      <xdr:colOff>533400</xdr:colOff>
      <xdr:row>5</xdr:row>
      <xdr:rowOff>171450</xdr:rowOff>
    </xdr:to>
    <xdr:sp macro="" textlink="Analysis!B16">
      <xdr:nvSpPr>
        <xdr:cNvPr id="17" name="TextBox 16">
          <a:extLst>
            <a:ext uri="{FF2B5EF4-FFF2-40B4-BE49-F238E27FC236}">
              <a16:creationId xmlns:a16="http://schemas.microsoft.com/office/drawing/2014/main" id="{475CAED3-B15D-41E4-907E-A73ABDE9762A}"/>
            </a:ext>
          </a:extLst>
        </xdr:cNvPr>
        <xdr:cNvSpPr txBox="1"/>
      </xdr:nvSpPr>
      <xdr:spPr>
        <a:xfrm>
          <a:off x="3295650" y="71437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 Profit</a:t>
          </a:r>
        </a:p>
      </xdr:txBody>
    </xdr:sp>
    <xdr:clientData/>
  </xdr:twoCellAnchor>
  <xdr:twoCellAnchor>
    <xdr:from>
      <xdr:col>10</xdr:col>
      <xdr:colOff>676275</xdr:colOff>
      <xdr:row>4</xdr:row>
      <xdr:rowOff>28575</xdr:rowOff>
    </xdr:from>
    <xdr:to>
      <xdr:col>12</xdr:col>
      <xdr:colOff>657225</xdr:colOff>
      <xdr:row>6</xdr:row>
      <xdr:rowOff>28575</xdr:rowOff>
    </xdr:to>
    <xdr:sp macro="" textlink="Analysis!B16">
      <xdr:nvSpPr>
        <xdr:cNvPr id="20" name="TextBox 19">
          <a:extLst>
            <a:ext uri="{FF2B5EF4-FFF2-40B4-BE49-F238E27FC236}">
              <a16:creationId xmlns:a16="http://schemas.microsoft.com/office/drawing/2014/main" id="{3FC73915-C883-43B1-AC86-E98F9E7D951A}"/>
            </a:ext>
          </a:extLst>
        </xdr:cNvPr>
        <xdr:cNvSpPr txBox="1"/>
      </xdr:nvSpPr>
      <xdr:spPr>
        <a:xfrm>
          <a:off x="7534275" y="75247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Profit Margin</a:t>
          </a:r>
        </a:p>
      </xdr:txBody>
    </xdr:sp>
    <xdr:clientData/>
  </xdr:twoCellAnchor>
  <xdr:twoCellAnchor>
    <xdr:from>
      <xdr:col>8</xdr:col>
      <xdr:colOff>0</xdr:colOff>
      <xdr:row>4</xdr:row>
      <xdr:rowOff>9525</xdr:rowOff>
    </xdr:from>
    <xdr:to>
      <xdr:col>9</xdr:col>
      <xdr:colOff>666750</xdr:colOff>
      <xdr:row>6</xdr:row>
      <xdr:rowOff>9525</xdr:rowOff>
    </xdr:to>
    <xdr:sp macro="" textlink="Analysis!B16">
      <xdr:nvSpPr>
        <xdr:cNvPr id="21" name="TextBox 20">
          <a:extLst>
            <a:ext uri="{FF2B5EF4-FFF2-40B4-BE49-F238E27FC236}">
              <a16:creationId xmlns:a16="http://schemas.microsoft.com/office/drawing/2014/main" id="{4E87EA22-795B-47DD-9E7B-E43E1F898BFC}"/>
            </a:ext>
          </a:extLst>
        </xdr:cNvPr>
        <xdr:cNvSpPr txBox="1"/>
      </xdr:nvSpPr>
      <xdr:spPr>
        <a:xfrm>
          <a:off x="5486400" y="73342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a:t>
          </a:r>
          <a:r>
            <a:rPr lang="en-US" sz="1200" b="1" baseline="0">
              <a:solidFill>
                <a:srgbClr val="EBCB6B"/>
              </a:solidFill>
            </a:rPr>
            <a:t> Units </a:t>
          </a:r>
        </a:p>
        <a:p>
          <a:pPr algn="ctr"/>
          <a:endParaRPr lang="en-US" sz="1200" b="1">
            <a:solidFill>
              <a:srgbClr val="EBCB6B"/>
            </a:solidFill>
          </a:endParaRPr>
        </a:p>
      </xdr:txBody>
    </xdr:sp>
    <xdr:clientData/>
  </xdr:twoCellAnchor>
  <xdr:twoCellAnchor>
    <xdr:from>
      <xdr:col>1</xdr:col>
      <xdr:colOff>361950</xdr:colOff>
      <xdr:row>4</xdr:row>
      <xdr:rowOff>9525</xdr:rowOff>
    </xdr:from>
    <xdr:to>
      <xdr:col>3</xdr:col>
      <xdr:colOff>342900</xdr:colOff>
      <xdr:row>6</xdr:row>
      <xdr:rowOff>9525</xdr:rowOff>
    </xdr:to>
    <xdr:sp macro="" textlink="Analysis!B16">
      <xdr:nvSpPr>
        <xdr:cNvPr id="24" name="TextBox 23">
          <a:extLst>
            <a:ext uri="{FF2B5EF4-FFF2-40B4-BE49-F238E27FC236}">
              <a16:creationId xmlns:a16="http://schemas.microsoft.com/office/drawing/2014/main" id="{09BC3F25-ABDD-4EFF-8B0B-A48727ACFDC9}"/>
            </a:ext>
          </a:extLst>
        </xdr:cNvPr>
        <xdr:cNvSpPr txBox="1"/>
      </xdr:nvSpPr>
      <xdr:spPr>
        <a:xfrm>
          <a:off x="1047750" y="73342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 Revenue</a:t>
          </a:r>
        </a:p>
      </xdr:txBody>
    </xdr:sp>
    <xdr:clientData/>
  </xdr:twoCellAnchor>
  <xdr:twoCellAnchor>
    <xdr:from>
      <xdr:col>13</xdr:col>
      <xdr:colOff>28574</xdr:colOff>
      <xdr:row>4</xdr:row>
      <xdr:rowOff>13253</xdr:rowOff>
    </xdr:from>
    <xdr:to>
      <xdr:col>15</xdr:col>
      <xdr:colOff>638175</xdr:colOff>
      <xdr:row>23</xdr:row>
      <xdr:rowOff>176420</xdr:rowOff>
    </xdr:to>
    <xdr:sp macro="" textlink="">
      <xdr:nvSpPr>
        <xdr:cNvPr id="33" name="Rectangle: Rounded Corners 32">
          <a:extLst>
            <a:ext uri="{FF2B5EF4-FFF2-40B4-BE49-F238E27FC236}">
              <a16:creationId xmlns:a16="http://schemas.microsoft.com/office/drawing/2014/main" id="{4854E206-C7A5-15DE-8F97-04B1364958E2}"/>
            </a:ext>
          </a:extLst>
        </xdr:cNvPr>
        <xdr:cNvSpPr/>
      </xdr:nvSpPr>
      <xdr:spPr>
        <a:xfrm>
          <a:off x="8965509" y="742123"/>
          <a:ext cx="1984514" cy="3625297"/>
        </a:xfrm>
        <a:prstGeom prst="roundRect">
          <a:avLst>
            <a:gd name="adj" fmla="val 0"/>
          </a:avLst>
        </a:prstGeom>
        <a:solidFill>
          <a:srgbClr val="2A332A"/>
        </a:solidFill>
        <a:ln>
          <a:solidFill>
            <a:srgbClr val="3A4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382243</xdr:colOff>
      <xdr:row>4</xdr:row>
      <xdr:rowOff>72472</xdr:rowOff>
    </xdr:from>
    <xdr:to>
      <xdr:col>15</xdr:col>
      <xdr:colOff>134593</xdr:colOff>
      <xdr:row>19</xdr:row>
      <xdr:rowOff>158198</xdr:rowOff>
    </xdr:to>
    <mc:AlternateContent xmlns:mc="http://schemas.openxmlformats.org/markup-compatibility/2006" xmlns:a14="http://schemas.microsoft.com/office/drawing/2010/main">
      <mc:Choice Requires="a14">
        <xdr:graphicFrame macro="">
          <xdr:nvGraphicFramePr>
            <xdr:cNvPr id="35" name="Country">
              <a:extLst>
                <a:ext uri="{FF2B5EF4-FFF2-40B4-BE49-F238E27FC236}">
                  <a16:creationId xmlns:a16="http://schemas.microsoft.com/office/drawing/2014/main" id="{802323A0-248C-9C2A-4EB3-5963BBD0F45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19178" y="801342"/>
              <a:ext cx="1127263" cy="2818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66675</xdr:colOff>
      <xdr:row>19</xdr:row>
      <xdr:rowOff>133349</xdr:rowOff>
    </xdr:from>
    <xdr:to>
      <xdr:col>15</xdr:col>
      <xdr:colOff>619124</xdr:colOff>
      <xdr:row>23</xdr:row>
      <xdr:rowOff>142874</xdr:rowOff>
    </xdr:to>
    <mc:AlternateContent xmlns:mc="http://schemas.openxmlformats.org/markup-compatibility/2006" xmlns:a14="http://schemas.microsoft.com/office/drawing/2010/main">
      <mc:Choice Requires="a14">
        <xdr:graphicFrame macro="">
          <xdr:nvGraphicFramePr>
            <xdr:cNvPr id="39" name="Years (Date)">
              <a:extLst>
                <a:ext uri="{FF2B5EF4-FFF2-40B4-BE49-F238E27FC236}">
                  <a16:creationId xmlns:a16="http://schemas.microsoft.com/office/drawing/2014/main" id="{C17DE316-02FC-1777-7835-4E49D25E370F}"/>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003610" y="3595479"/>
              <a:ext cx="1927362" cy="738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45140</xdr:colOff>
      <xdr:row>0</xdr:row>
      <xdr:rowOff>165652</xdr:rowOff>
    </xdr:from>
    <xdr:to>
      <xdr:col>15</xdr:col>
      <xdr:colOff>561146</xdr:colOff>
      <xdr:row>3</xdr:row>
      <xdr:rowOff>135834</xdr:rowOff>
    </xdr:to>
    <xdr:pic>
      <xdr:nvPicPr>
        <xdr:cNvPr id="43" name="Graphic 42" descr="Upward trend with solid fill">
          <a:hlinkClick xmlns:r="http://schemas.openxmlformats.org/officeDocument/2006/relationships" r:id="rId15"/>
          <a:extLst>
            <a:ext uri="{FF2B5EF4-FFF2-40B4-BE49-F238E27FC236}">
              <a16:creationId xmlns:a16="http://schemas.microsoft.com/office/drawing/2014/main" id="{0739FDBF-4ABD-B538-B59A-FD8FDFC7F77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356988" y="165652"/>
          <a:ext cx="516006" cy="516834"/>
        </a:xfrm>
        <a:prstGeom prst="rect">
          <a:avLst/>
        </a:prstGeom>
      </xdr:spPr>
    </xdr:pic>
    <xdr:clientData/>
  </xdr:twoCellAnchor>
  <xdr:twoCellAnchor editAs="oneCell">
    <xdr:from>
      <xdr:col>14</xdr:col>
      <xdr:colOff>213692</xdr:colOff>
      <xdr:row>0</xdr:row>
      <xdr:rowOff>163581</xdr:rowOff>
    </xdr:from>
    <xdr:to>
      <xdr:col>14</xdr:col>
      <xdr:colOff>645012</xdr:colOff>
      <xdr:row>3</xdr:row>
      <xdr:rowOff>95664</xdr:rowOff>
    </xdr:to>
    <xdr:pic>
      <xdr:nvPicPr>
        <xdr:cNvPr id="45" name="Graphic 44" descr="Magnifying glass with solid fill">
          <a:hlinkClick xmlns:r="http://schemas.openxmlformats.org/officeDocument/2006/relationships" r:id="rId18"/>
          <a:extLst>
            <a:ext uri="{FF2B5EF4-FFF2-40B4-BE49-F238E27FC236}">
              <a16:creationId xmlns:a16="http://schemas.microsoft.com/office/drawing/2014/main" id="{26641DCA-F17C-2F65-1120-482FCA30864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838083" y="163581"/>
          <a:ext cx="431320" cy="478735"/>
        </a:xfrm>
        <a:prstGeom prst="rect">
          <a:avLst/>
        </a:prstGeom>
      </xdr:spPr>
    </xdr:pic>
    <xdr:clientData/>
  </xdr:twoCellAnchor>
  <xdr:twoCellAnchor editAs="oneCell">
    <xdr:from>
      <xdr:col>13</xdr:col>
      <xdr:colOff>300659</xdr:colOff>
      <xdr:row>0</xdr:row>
      <xdr:rowOff>93179</xdr:rowOff>
    </xdr:from>
    <xdr:to>
      <xdr:col>14</xdr:col>
      <xdr:colOff>205408</xdr:colOff>
      <xdr:row>3</xdr:row>
      <xdr:rowOff>142046</xdr:rowOff>
    </xdr:to>
    <xdr:pic>
      <xdr:nvPicPr>
        <xdr:cNvPr id="47" name="Graphic 46" descr="Books on shelf with solid fill">
          <a:hlinkClick xmlns:r="http://schemas.openxmlformats.org/officeDocument/2006/relationships" r:id="rId21"/>
          <a:extLst>
            <a:ext uri="{FF2B5EF4-FFF2-40B4-BE49-F238E27FC236}">
              <a16:creationId xmlns:a16="http://schemas.microsoft.com/office/drawing/2014/main" id="{7360D8F6-4011-4433-5178-EBC7E0C3A13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237594" y="93179"/>
          <a:ext cx="592205" cy="595519"/>
        </a:xfrm>
        <a:prstGeom prst="rect">
          <a:avLst/>
        </a:prstGeom>
      </xdr:spPr>
    </xdr:pic>
    <xdr:clientData/>
  </xdr:twoCellAnchor>
  <xdr:twoCellAnchor>
    <xdr:from>
      <xdr:col>10</xdr:col>
      <xdr:colOff>542097</xdr:colOff>
      <xdr:row>2</xdr:row>
      <xdr:rowOff>60877</xdr:rowOff>
    </xdr:from>
    <xdr:to>
      <xdr:col>13</xdr:col>
      <xdr:colOff>523047</xdr:colOff>
      <xdr:row>3</xdr:row>
      <xdr:rowOff>79927</xdr:rowOff>
    </xdr:to>
    <xdr:sp macro="" textlink="">
      <xdr:nvSpPr>
        <xdr:cNvPr id="48" name="TextBox 47">
          <a:extLst>
            <a:ext uri="{FF2B5EF4-FFF2-40B4-BE49-F238E27FC236}">
              <a16:creationId xmlns:a16="http://schemas.microsoft.com/office/drawing/2014/main" id="{2D304FB7-78EF-EBFD-6027-D6ADEF1BC82C}"/>
            </a:ext>
          </a:extLst>
        </xdr:cNvPr>
        <xdr:cNvSpPr txBox="1"/>
      </xdr:nvSpPr>
      <xdr:spPr>
        <a:xfrm>
          <a:off x="7416662" y="425312"/>
          <a:ext cx="2043320" cy="2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A4D2E"/>
              </a:solidFill>
            </a:rPr>
            <a:t>Blessing Adegboro_Joseph</a:t>
          </a:r>
        </a:p>
      </xdr:txBody>
    </xdr:sp>
    <xdr:clientData/>
  </xdr:twoCellAnchor>
  <xdr:twoCellAnchor>
    <xdr:from>
      <xdr:col>0</xdr:col>
      <xdr:colOff>19050</xdr:colOff>
      <xdr:row>16</xdr:row>
      <xdr:rowOff>57151</xdr:rowOff>
    </xdr:from>
    <xdr:to>
      <xdr:col>4</xdr:col>
      <xdr:colOff>600075</xdr:colOff>
      <xdr:row>23</xdr:row>
      <xdr:rowOff>161925</xdr:rowOff>
    </xdr:to>
    <xdr:graphicFrame macro="">
      <xdr:nvGraphicFramePr>
        <xdr:cNvPr id="49" name="Chart 48">
          <a:extLst>
            <a:ext uri="{FF2B5EF4-FFF2-40B4-BE49-F238E27FC236}">
              <a16:creationId xmlns:a16="http://schemas.microsoft.com/office/drawing/2014/main" id="{63E85597-3E58-4C98-91B2-F9F3F3EE9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15</xdr:col>
      <xdr:colOff>198782</xdr:colOff>
      <xdr:row>22</xdr:row>
      <xdr:rowOff>0</xdr:rowOff>
    </xdr:from>
    <xdr:to>
      <xdr:col>15</xdr:col>
      <xdr:colOff>496955</xdr:colOff>
      <xdr:row>23</xdr:row>
      <xdr:rowOff>115956</xdr:rowOff>
    </xdr:to>
    <xdr:pic macro="[0]!Picture51_Click">
      <xdr:nvPicPr>
        <xdr:cNvPr id="52" name="Picture 51">
          <a:extLst>
            <a:ext uri="{FF2B5EF4-FFF2-40B4-BE49-F238E27FC236}">
              <a16:creationId xmlns:a16="http://schemas.microsoft.com/office/drawing/2014/main" id="{34F948F6-3F1A-12AF-562E-43C0E08FCC42}"/>
            </a:ext>
          </a:extLst>
        </xdr:cNvPr>
        <xdr:cNvPicPr>
          <a:picLocks noChangeAspect="1"/>
        </xdr:cNvPicPr>
      </xdr:nvPicPr>
      <xdr:blipFill>
        <a:blip xmlns:r="http://schemas.openxmlformats.org/officeDocument/2006/relationships" r:embed="rId25">
          <a:duotone>
            <a:schemeClr val="accent6">
              <a:shade val="45000"/>
              <a:satMod val="135000"/>
            </a:schemeClr>
            <a:prstClr val="white"/>
          </a:duotone>
        </a:blip>
        <a:stretch>
          <a:fillRect/>
        </a:stretch>
      </xdr:blipFill>
      <xdr:spPr>
        <a:xfrm>
          <a:off x="10510630" y="4008783"/>
          <a:ext cx="298173" cy="29817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352425</xdr:colOff>
      <xdr:row>1</xdr:row>
      <xdr:rowOff>114300</xdr:rowOff>
    </xdr:from>
    <xdr:to>
      <xdr:col>10</xdr:col>
      <xdr:colOff>247650</xdr:colOff>
      <xdr:row>24</xdr:row>
      <xdr:rowOff>57150</xdr:rowOff>
    </xdr:to>
    <xdr:sp macro="" textlink="">
      <xdr:nvSpPr>
        <xdr:cNvPr id="2" name="Rectangle 1">
          <a:extLst>
            <a:ext uri="{FF2B5EF4-FFF2-40B4-BE49-F238E27FC236}">
              <a16:creationId xmlns:a16="http://schemas.microsoft.com/office/drawing/2014/main" id="{C86FEFD1-9090-FC73-CD3B-4DBA5EE641BB}"/>
            </a:ext>
          </a:extLst>
        </xdr:cNvPr>
        <xdr:cNvSpPr/>
      </xdr:nvSpPr>
      <xdr:spPr>
        <a:xfrm>
          <a:off x="352425" y="295275"/>
          <a:ext cx="6753225" cy="410527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200" b="0" i="0" baseline="0">
            <a:solidFill>
              <a:schemeClr val="dk1"/>
            </a:solidFill>
            <a:effectLst/>
            <a:latin typeface="+mn-lt"/>
            <a:ea typeface="+mn-ea"/>
            <a:cs typeface="+mn-cs"/>
          </a:endParaRPr>
        </a:p>
        <a:p>
          <a:pPr algn="l"/>
          <a:r>
            <a:rPr lang="en-US" sz="1400" b="1" i="0" baseline="0">
              <a:solidFill>
                <a:schemeClr val="dk1"/>
              </a:solidFill>
              <a:effectLst/>
              <a:latin typeface="+mn-lt"/>
              <a:ea typeface="+mn-ea"/>
              <a:cs typeface="+mn-cs"/>
            </a:rPr>
            <a:t>AfriMart Retail Sales Dataset</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Size: 701 rows x 7 columns (1 header row + 700 data rows)</a:t>
          </a:r>
        </a:p>
        <a:p>
          <a:pPr algn="l"/>
          <a:r>
            <a:rPr lang="en-US" sz="1200" b="0" i="0" baseline="0">
              <a:solidFill>
                <a:schemeClr val="dk1"/>
              </a:solidFill>
              <a:effectLst/>
              <a:latin typeface="+mn-lt"/>
              <a:ea typeface="+mn-ea"/>
              <a:cs typeface="+mn-cs"/>
            </a:rPr>
            <a:t>3 Dimension Columns :Country,Product,Date </a:t>
          </a:r>
        </a:p>
        <a:p>
          <a:pPr algn="l"/>
          <a:r>
            <a:rPr lang="en-US" sz="1200" b="0" i="0" baseline="0">
              <a:solidFill>
                <a:schemeClr val="dk1"/>
              </a:solidFill>
              <a:effectLst/>
              <a:latin typeface="+mn-lt"/>
              <a:ea typeface="+mn-ea"/>
              <a:cs typeface="+mn-cs"/>
            </a:rPr>
            <a:t>Metrics Colums :Revenue, profit, unitsold,cost</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KPIs:</a:t>
          </a:r>
        </a:p>
        <a:p>
          <a:pPr algn="l"/>
          <a:r>
            <a:rPr lang="en-US" sz="1200" b="0" i="0" baseline="0">
              <a:solidFill>
                <a:schemeClr val="dk1"/>
              </a:solidFill>
              <a:effectLst/>
              <a:latin typeface="+mn-lt"/>
              <a:ea typeface="+mn-ea"/>
              <a:cs typeface="+mn-cs"/>
            </a:rPr>
            <a:t>Total Revenue: ₦10.45B - Sum of all sales</a:t>
          </a:r>
        </a:p>
        <a:p>
          <a:pPr algn="l"/>
          <a:r>
            <a:rPr lang="en-US" sz="1200" b="0" i="0" baseline="0">
              <a:solidFill>
                <a:schemeClr val="dk1"/>
              </a:solidFill>
              <a:effectLst/>
              <a:latin typeface="+mn-lt"/>
              <a:ea typeface="+mn-ea"/>
              <a:cs typeface="+mn-cs"/>
            </a:rPr>
            <a:t>Total Profit: ₦2.10B - Revenue - Cost</a:t>
          </a:r>
        </a:p>
        <a:p>
          <a:pPr algn="l"/>
          <a:r>
            <a:rPr lang="en-US" sz="1200" b="0" i="0" baseline="0">
              <a:solidFill>
                <a:schemeClr val="dk1"/>
              </a:solidFill>
              <a:effectLst/>
              <a:latin typeface="+mn-lt"/>
              <a:ea typeface="+mn-ea"/>
              <a:cs typeface="+mn-cs"/>
            </a:rPr>
            <a:t>Total Units: 1,017,885 units sold</a:t>
          </a:r>
        </a:p>
        <a:p>
          <a:pPr algn="l"/>
          <a:r>
            <a:rPr lang="en-US" sz="1200" b="0" i="0" baseline="0">
              <a:solidFill>
                <a:schemeClr val="dk1"/>
              </a:solidFill>
              <a:effectLst/>
              <a:latin typeface="+mn-lt"/>
              <a:ea typeface="+mn-ea"/>
              <a:cs typeface="+mn-cs"/>
            </a:rPr>
            <a:t>Profit Margin: 20% - Profit / Revenue</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Key Insights:</a:t>
          </a:r>
        </a:p>
        <a:p>
          <a:pPr algn="l"/>
          <a:r>
            <a:rPr lang="en-US" sz="1200" b="0" i="0" baseline="0">
              <a:solidFill>
                <a:schemeClr val="dk1"/>
              </a:solidFill>
              <a:effectLst/>
              <a:latin typeface="+mn-lt"/>
              <a:ea typeface="+mn-ea"/>
              <a:cs typeface="+mn-cs"/>
            </a:rPr>
            <a:t>Top Country by Revenue: Nigeria</a:t>
          </a:r>
        </a:p>
        <a:p>
          <a:pPr algn="l"/>
          <a:r>
            <a:rPr lang="en-US" sz="1200" b="0" i="0" baseline="0">
              <a:solidFill>
                <a:schemeClr val="dk1"/>
              </a:solidFill>
              <a:effectLst/>
              <a:latin typeface="+mn-lt"/>
              <a:ea typeface="+mn-ea"/>
              <a:cs typeface="+mn-cs"/>
            </a:rPr>
            <a:t>Top Product by Units: Detergent (1kg) - 156,348 units</a:t>
          </a:r>
        </a:p>
        <a:p>
          <a:pPr algn="l"/>
          <a:r>
            <a:rPr lang="en-US" sz="1200" b="0" i="0" baseline="0">
              <a:solidFill>
                <a:schemeClr val="dk1"/>
              </a:solidFill>
              <a:effectLst/>
              <a:latin typeface="+mn-lt"/>
              <a:ea typeface="+mn-ea"/>
              <a:cs typeface="+mn-cs"/>
            </a:rPr>
            <a:t>Top Product by Profit: Rice (50kg Bag)</a:t>
          </a:r>
        </a:p>
        <a:p>
          <a:pPr algn="l"/>
          <a:r>
            <a:rPr lang="en-US" sz="1200" b="0" i="0" baseline="0">
              <a:solidFill>
                <a:schemeClr val="dk1"/>
              </a:solidFill>
              <a:effectLst/>
              <a:latin typeface="+mn-lt"/>
              <a:ea typeface="+mn-ea"/>
              <a:cs typeface="+mn-cs"/>
            </a:rPr>
            <a:t>Monthly sales perfprmance: August -1,251,126,800</a:t>
          </a:r>
        </a:p>
        <a:p>
          <a:pPr algn="l"/>
          <a:r>
            <a:rPr lang="en-US" sz="1200" b="0" i="0" baseline="0">
              <a:solidFill>
                <a:schemeClr val="dk1"/>
              </a:solidFill>
              <a:effectLst/>
              <a:latin typeface="+mn-lt"/>
              <a:ea typeface="+mn-ea"/>
              <a:cs typeface="+mn-cs"/>
            </a:rPr>
            <a:t>Profit by Country: Nigeria- 302,613,800</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Revenue Trend: Stable from 2024-2026.</a:t>
          </a:r>
        </a:p>
        <a:p>
          <a:pPr algn="l"/>
          <a:endParaRPr lang="en-US" sz="1200" b="0" i="0" baseline="0">
            <a:solidFill>
              <a:schemeClr val="dk1"/>
            </a:solidFill>
            <a:effectLst/>
            <a:latin typeface="+mn-lt"/>
            <a:ea typeface="+mn-ea"/>
            <a:cs typeface="+mn-cs"/>
          </a:endParaRPr>
        </a:p>
        <a:p>
          <a:pPr algn="l"/>
          <a:endParaRPr lang="en-US" sz="1200" b="0" i="0" baseline="0">
            <a:solidFill>
              <a:schemeClr val="dk1"/>
            </a:solidFill>
            <a:effectLst/>
            <a:latin typeface="+mn-lt"/>
            <a:ea typeface="+mn-ea"/>
            <a:cs typeface="+mn-cs"/>
          </a:endParaRPr>
        </a:p>
        <a:p>
          <a:pPr algn="l"/>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4.874405324073" createdVersion="8" refreshedVersion="8" minRefreshableVersion="3" recordCount="700" xr:uid="{CC269FD9-FDE2-4462-87C6-0BA4972B365B}">
  <cacheSource type="worksheet">
    <worksheetSource ref="A1:G701" sheet="Data"/>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855199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A18A8-3750-4940-BECE-9D1CDFBF24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14" firstHeaderRow="1" firstDataRow="1" firstDataCol="1"/>
  <pivotFields count="10">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dataFields>
  <formats count="1">
    <format dxfId="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BA978-89B4-4775-81EA-DB86EED8ED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3"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65728-740B-4DCC-9AC2-EF04872C03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D11" firstHeaderRow="1" firstDataRow="1" firstDataCol="1"/>
  <pivotFields count="10">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6C2C4-C51E-4731-95AC-6229FE108DB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S8" firstHeaderRow="1" firstDataRow="2" firstDataCol="1"/>
  <pivotFields count="10">
    <pivotField axis="axisRow" showAll="0" measureFilter="1">
      <items count="11">
        <item x="0"/>
        <item x="3"/>
        <item x="7"/>
        <item x="5"/>
        <item x="8"/>
        <item x="4"/>
        <item x="6"/>
        <item x="1"/>
        <item x="9"/>
        <item x="2"/>
        <item t="default"/>
      </items>
    </pivotField>
    <pivotField axis="axisCol" showAll="0" measureFilter="1">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4">
    <i>
      <x/>
    </i>
    <i>
      <x v="4"/>
    </i>
    <i>
      <x v="8"/>
    </i>
    <i t="grand">
      <x/>
    </i>
  </rowItems>
  <colFields count="1">
    <field x="1"/>
  </colFields>
  <colItems count="4">
    <i>
      <x v="1"/>
    </i>
    <i>
      <x v="5"/>
    </i>
    <i>
      <x v="6"/>
    </i>
    <i t="grand">
      <x/>
    </i>
  </colItems>
  <dataFields count="1">
    <dataField name="Sum of Revenue" fld="3" baseField="0" baseItem="0"/>
  </dataFields>
  <formats count="1">
    <format dxfId="3">
      <pivotArea outline="0" collapsedLevelsAreSubtotals="1" fieldPosition="0"/>
    </format>
  </formats>
  <chartFormats count="7">
    <chartFormat chart="2"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2">
          <reference field="4294967294" count="1" selected="0">
            <x v="0"/>
          </reference>
          <reference field="1" count="1" selected="0">
            <x v="2"/>
          </reference>
        </references>
      </pivotArea>
    </chartFormat>
    <chartFormat chart="2" format="17" series="1">
      <pivotArea type="data" outline="0" fieldPosition="0">
        <references count="2">
          <reference field="4294967294" count="1" selected="0">
            <x v="0"/>
          </reference>
          <reference field="1" count="1" selected="0">
            <x v="3"/>
          </reference>
        </references>
      </pivotArea>
    </chartFormat>
    <chartFormat chart="2" format="18" series="1">
      <pivotArea type="data" outline="0" fieldPosition="0">
        <references count="2">
          <reference field="4294967294" count="1" selected="0">
            <x v="0"/>
          </reference>
          <reference field="1" count="1" selected="0">
            <x v="4"/>
          </reference>
        </references>
      </pivotArea>
    </chartFormat>
    <chartFormat chart="2" format="19" series="1">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2">
    <filter fld="1" type="count" evalOrder="-1" id="3" iMeasureFld="0">
      <autoFilter ref="A1">
        <filterColumn colId="0">
          <top10 val="3" filterVal="3"/>
        </filterColumn>
      </autoFilter>
    </filter>
    <filter fld="0"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BDECB0-3750-4658-92FB-581E58FE57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7"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9"/>
    <field x="7"/>
    <field x="6"/>
    <field x="8"/>
  </rowFields>
  <rowItems count="4">
    <i>
      <x v="1"/>
    </i>
    <i>
      <x v="2"/>
    </i>
    <i>
      <x v="3"/>
    </i>
    <i t="grand">
      <x/>
    </i>
  </rowItems>
  <colItems count="1">
    <i/>
  </colItems>
  <dataFields count="1">
    <dataField name="Sum of Revenue" fld="3" baseField="0" baseItem="0"/>
  </dataFields>
  <formats count="1">
    <format dxfId="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AB9EF1-F016-4DC3-A3B7-9C71DB8BA1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showAll="0">
      <items count="11">
        <item x="0"/>
        <item x="3"/>
        <item x="7"/>
        <item x="5"/>
        <item x="8"/>
        <item x="4"/>
        <item x="6"/>
        <item x="1"/>
        <item x="9"/>
        <item x="2"/>
        <item t="default"/>
      </items>
    </pivotField>
    <pivotField showAll="0"/>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2"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BD2DF4-A6C3-4097-ACE9-B23E5B5212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numFmtId="41"/>
  </dataFields>
  <formats count="1">
    <format dxfId="6">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301239-9C62-4B82-BB7C-312710D5DD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3:AC9" firstHeaderRow="1" firstDataRow="1" firstDataCol="1"/>
  <pivotFields count="10">
    <pivotField showAll="0">
      <items count="11">
        <item x="0"/>
        <item x="3"/>
        <item x="7"/>
        <item x="5"/>
        <item x="8"/>
        <item x="4"/>
        <item x="6"/>
        <item x="1"/>
        <item x="9"/>
        <item x="2"/>
        <item t="default"/>
      </items>
    </pivotField>
    <pivotField axis="axisRow" showAll="0" measureFilter="1">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1"/>
    </i>
    <i>
      <x v="2"/>
    </i>
    <i>
      <x v="4"/>
    </i>
    <i>
      <x v="5"/>
    </i>
    <i>
      <x v="6"/>
    </i>
    <i t="grand">
      <x/>
    </i>
  </rowItems>
  <colItems count="1">
    <i/>
  </colItems>
  <dataFields count="1">
    <dataField name="Sum of Profit" fld="5" baseField="0" baseItem="0"/>
  </dataFields>
  <formats count="1">
    <format dxfId="7">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A1A352-E20C-4CAE-9795-3076E25F81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5"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41FD1E-4AFD-4107-AF51-C7BEA6B3B3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16"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Revenue" fld="3"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EA4F56-0542-4B51-839B-DAD850A5F06A}" sourceName="Country">
  <pivotTables>
    <pivotTable tabId="4" name="PivotTable9"/>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s>
  <data>
    <tabular pivotCacheId="1855199176">
      <items count="10">
        <i x="0" s="1"/>
        <i x="3" s="1"/>
        <i x="7" s="1"/>
        <i x="5" s="1"/>
        <i x="8" s="1"/>
        <i x="4" s="1"/>
        <i x="6" s="1"/>
        <i x="1" s="1"/>
        <i x="9"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E259CE9-714F-4DF0-A424-AA5D54869C3C}" sourceName="Years (Date)">
  <pivotTables>
    <pivotTable tabId="4" name="PivotTable7"/>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1855199176">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F3352D6-FABA-4285-87C7-344558825D93}" cache="Slicer_Country" caption="Country" showCaption="0" style="SlicerStyleDark3 2 2 2" rowHeight="241300"/>
  <slicer name="Years (Date)" xr10:uid="{3F22990E-0B11-4946-8421-8ED23795D553}" cache="Slicer_Years__Date" caption="Years (Date)" columnCount="3" showCaption="0" style="SlicerStyleDark3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6DBADE-DBD4-4CB8-BF40-AD5615169EDF}" name="Table1" displayName="Table1" ref="A1:G701" totalsRowShown="0">
  <autoFilter ref="A1:G701" xr:uid="{8A6DBADE-DBD4-4CB8-BF40-AD5615169EDF}"/>
  <tableColumns count="7">
    <tableColumn id="1" xr3:uid="{BAF91C37-9B4F-4DA3-9DBE-258C469E69FA}" name="Country"/>
    <tableColumn id="2" xr3:uid="{2A6EDE60-AE60-4872-89A4-C35373F65ADC}" name="Product"/>
    <tableColumn id="3" xr3:uid="{F08DD472-06B4-4537-91F5-22F26788699C}" name="Units Sold"/>
    <tableColumn id="4" xr3:uid="{A2B97EBC-825B-4085-A3E6-C7DE5EF388FD}" name="Revenue"/>
    <tableColumn id="5" xr3:uid="{F101B1D0-CA3B-4CFD-8062-374E061DC5A8}" name="Cost"/>
    <tableColumn id="6" xr3:uid="{3D105E04-D3AD-4D14-8FC3-A5F4C2A4A582}" name="Profit"/>
    <tableColumn id="7" xr3:uid="{B78E1B94-8D33-4410-96D0-235F92B5A547}" name="Date"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1B211B">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1:G701"/>
  <sheetViews>
    <sheetView zoomScale="145"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G526"/>
  <sheetViews>
    <sheetView zoomScale="172" workbookViewId="0">
      <selection activeCell="C9" sqref="C9"/>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9EA4-DFC3-4558-BA3C-4AAECF63481F}">
  <sheetPr codeName="Sheet3">
    <tabColor theme="4" tint="0.79998168889431442"/>
  </sheetPr>
  <dimension ref="A1:AC19"/>
  <sheetViews>
    <sheetView topLeftCell="K1" zoomScale="130" zoomScaleNormal="130" workbookViewId="0"/>
  </sheetViews>
  <sheetFormatPr defaultRowHeight="14.25" x14ac:dyDescent="0.2"/>
  <cols>
    <col min="1" max="1" width="14.875" bestFit="1" customWidth="1"/>
    <col min="2" max="2" width="25.75" customWidth="1"/>
    <col min="3" max="3" width="17.25" bestFit="1" customWidth="1"/>
    <col min="4" max="4" width="15.625" bestFit="1" customWidth="1"/>
    <col min="6" max="6" width="17.25" bestFit="1" customWidth="1"/>
    <col min="7" max="7" width="14.875" bestFit="1" customWidth="1"/>
    <col min="9" max="9" width="11.75" bestFit="1" customWidth="1"/>
    <col min="10" max="10" width="16.625" bestFit="1" customWidth="1"/>
    <col min="12" max="12" width="11.75" bestFit="1" customWidth="1"/>
    <col min="13" max="13" width="15.625" bestFit="1" customWidth="1"/>
    <col min="15" max="15" width="13.75" bestFit="1" customWidth="1"/>
    <col min="16" max="16" width="14.375" bestFit="1" customWidth="1"/>
    <col min="17" max="17" width="14.125" bestFit="1" customWidth="1"/>
    <col min="18" max="19" width="15.625" bestFit="1" customWidth="1"/>
    <col min="20" max="20" width="16.5" bestFit="1" customWidth="1"/>
    <col min="21" max="21" width="14.125" bestFit="1" customWidth="1"/>
    <col min="22" max="23" width="15.625" bestFit="1" customWidth="1"/>
    <col min="24" max="24" width="14.125" bestFit="1" customWidth="1"/>
    <col min="25" max="25" width="11.75" bestFit="1" customWidth="1"/>
    <col min="26" max="26" width="16.625" bestFit="1" customWidth="1"/>
    <col min="27" max="27" width="16.5" bestFit="1" customWidth="1"/>
    <col min="28" max="28" width="16" bestFit="1" customWidth="1"/>
    <col min="29" max="31" width="15.625" bestFit="1" customWidth="1"/>
  </cols>
  <sheetData>
    <row r="1" spans="1:29" x14ac:dyDescent="0.2">
      <c r="A1" s="7" t="s">
        <v>30</v>
      </c>
      <c r="C1" s="19" t="s">
        <v>34</v>
      </c>
      <c r="D1" s="19"/>
      <c r="E1" s="19"/>
      <c r="F1" s="19" t="s">
        <v>35</v>
      </c>
      <c r="G1" s="19"/>
      <c r="I1" s="19" t="s">
        <v>48</v>
      </c>
      <c r="J1" s="19"/>
      <c r="L1" s="19" t="s">
        <v>49</v>
      </c>
      <c r="M1" s="19"/>
      <c r="O1" s="19" t="s">
        <v>51</v>
      </c>
      <c r="P1" s="19"/>
      <c r="Q1" s="19"/>
      <c r="R1" s="19"/>
      <c r="S1" s="19"/>
      <c r="T1" s="19"/>
      <c r="U1" s="19"/>
      <c r="V1" s="19"/>
      <c r="W1" s="19"/>
      <c r="Y1" s="19" t="s">
        <v>52</v>
      </c>
      <c r="Z1" s="19"/>
      <c r="AB1" s="19" t="s">
        <v>53</v>
      </c>
      <c r="AC1" s="19"/>
    </row>
    <row r="2" spans="1:29" x14ac:dyDescent="0.2">
      <c r="A2" s="6" t="s">
        <v>29</v>
      </c>
    </row>
    <row r="3" spans="1:29" x14ac:dyDescent="0.2">
      <c r="A3" t="s">
        <v>25</v>
      </c>
      <c r="C3" s="4" t="s">
        <v>24</v>
      </c>
      <c r="D3" t="s">
        <v>27</v>
      </c>
      <c r="F3" s="4" t="s">
        <v>24</v>
      </c>
      <c r="G3" t="s">
        <v>28</v>
      </c>
      <c r="I3" s="4" t="s">
        <v>24</v>
      </c>
      <c r="J3" t="s">
        <v>25</v>
      </c>
      <c r="L3" s="4" t="s">
        <v>24</v>
      </c>
      <c r="M3" t="s">
        <v>27</v>
      </c>
      <c r="O3" s="4" t="s">
        <v>25</v>
      </c>
      <c r="P3" s="4" t="s">
        <v>50</v>
      </c>
      <c r="Y3" s="4" t="s">
        <v>24</v>
      </c>
      <c r="Z3" t="s">
        <v>25</v>
      </c>
      <c r="AB3" s="4" t="s">
        <v>24</v>
      </c>
      <c r="AC3" t="s">
        <v>27</v>
      </c>
    </row>
    <row r="4" spans="1:29" x14ac:dyDescent="0.2">
      <c r="A4" s="8">
        <v>10447536600</v>
      </c>
      <c r="C4" s="5" t="s">
        <v>12</v>
      </c>
      <c r="D4" s="8">
        <v>45387650</v>
      </c>
      <c r="F4" s="5" t="s">
        <v>10</v>
      </c>
      <c r="G4" s="14">
        <v>156348</v>
      </c>
      <c r="I4" s="5" t="s">
        <v>58</v>
      </c>
      <c r="J4" s="8">
        <v>3129927800</v>
      </c>
      <c r="L4" s="5" t="s">
        <v>7</v>
      </c>
      <c r="M4" s="8">
        <v>237371300</v>
      </c>
      <c r="O4" s="4" t="s">
        <v>24</v>
      </c>
      <c r="P4" t="s">
        <v>23</v>
      </c>
      <c r="Q4" t="s">
        <v>17</v>
      </c>
      <c r="R4" t="s">
        <v>19</v>
      </c>
      <c r="S4" t="s">
        <v>26</v>
      </c>
      <c r="Y4" s="5" t="s">
        <v>36</v>
      </c>
      <c r="Z4" s="8">
        <v>818865100</v>
      </c>
      <c r="AB4" s="5" t="s">
        <v>23</v>
      </c>
      <c r="AC4" s="8">
        <v>111873600</v>
      </c>
    </row>
    <row r="5" spans="1:29" x14ac:dyDescent="0.2">
      <c r="A5" s="9" t="s">
        <v>31</v>
      </c>
      <c r="C5" s="5" t="s">
        <v>23</v>
      </c>
      <c r="D5" s="8">
        <v>111873600</v>
      </c>
      <c r="F5" s="5" t="s">
        <v>14</v>
      </c>
      <c r="G5" s="14">
        <v>155359</v>
      </c>
      <c r="I5" s="5" t="s">
        <v>59</v>
      </c>
      <c r="J5" s="8">
        <v>3847142200</v>
      </c>
      <c r="L5" s="5" t="s">
        <v>13</v>
      </c>
      <c r="M5" s="8">
        <v>181420300</v>
      </c>
      <c r="O5" s="5" t="s">
        <v>7</v>
      </c>
      <c r="P5" s="8">
        <v>60560000</v>
      </c>
      <c r="Q5" s="8">
        <v>260670000</v>
      </c>
      <c r="R5" s="8">
        <v>685980000</v>
      </c>
      <c r="S5" s="8">
        <v>1007210000</v>
      </c>
      <c r="Y5" s="5" t="s">
        <v>37</v>
      </c>
      <c r="Z5" s="8">
        <v>1102362600</v>
      </c>
      <c r="AB5" s="5" t="s">
        <v>10</v>
      </c>
      <c r="AC5" s="8">
        <v>140713200</v>
      </c>
    </row>
    <row r="6" spans="1:29" x14ac:dyDescent="0.2">
      <c r="A6" t="s">
        <v>27</v>
      </c>
      <c r="C6" s="5" t="s">
        <v>10</v>
      </c>
      <c r="D6" s="8">
        <v>140713200</v>
      </c>
      <c r="F6" s="5" t="s">
        <v>17</v>
      </c>
      <c r="G6" s="14">
        <v>151173</v>
      </c>
      <c r="I6" s="5" t="s">
        <v>60</v>
      </c>
      <c r="J6" s="8">
        <v>3470466600</v>
      </c>
      <c r="L6" s="5" t="s">
        <v>20</v>
      </c>
      <c r="M6" s="8">
        <v>194985300</v>
      </c>
      <c r="O6" s="5" t="s">
        <v>21</v>
      </c>
      <c r="P6" s="8">
        <v>109030000</v>
      </c>
      <c r="Q6" s="8">
        <v>213105000</v>
      </c>
      <c r="R6" s="8">
        <v>1139940000</v>
      </c>
      <c r="S6" s="8">
        <v>1462075000</v>
      </c>
      <c r="Y6" s="5" t="s">
        <v>38</v>
      </c>
      <c r="Z6" s="8">
        <v>701796300</v>
      </c>
      <c r="AB6" s="5" t="s">
        <v>8</v>
      </c>
      <c r="AC6" s="8">
        <v>178723200</v>
      </c>
    </row>
    <row r="7" spans="1:29" x14ac:dyDescent="0.2">
      <c r="A7" s="8">
        <v>2099369250</v>
      </c>
      <c r="C7" s="5" t="s">
        <v>14</v>
      </c>
      <c r="D7" s="8">
        <v>62143600</v>
      </c>
      <c r="F7" s="5" t="s">
        <v>8</v>
      </c>
      <c r="G7" s="14">
        <v>148936</v>
      </c>
      <c r="I7" s="5" t="s">
        <v>26</v>
      </c>
      <c r="J7" s="8">
        <v>10447536600</v>
      </c>
      <c r="L7" s="5" t="s">
        <v>16</v>
      </c>
      <c r="M7" s="8">
        <v>229987650</v>
      </c>
      <c r="O7" s="5" t="s">
        <v>22</v>
      </c>
      <c r="P7" s="8">
        <v>59685000</v>
      </c>
      <c r="Q7" s="8">
        <v>220905000</v>
      </c>
      <c r="R7" s="8">
        <v>873315000</v>
      </c>
      <c r="S7" s="8">
        <v>1153905000</v>
      </c>
      <c r="Y7" s="5" t="s">
        <v>39</v>
      </c>
      <c r="Z7" s="8">
        <v>783042700</v>
      </c>
      <c r="AB7" s="5" t="s">
        <v>17</v>
      </c>
      <c r="AC7" s="8">
        <v>604692000</v>
      </c>
    </row>
    <row r="8" spans="1:29" x14ac:dyDescent="0.2">
      <c r="A8" s="9" t="s">
        <v>32</v>
      </c>
      <c r="C8" s="5" t="s">
        <v>8</v>
      </c>
      <c r="D8" s="8">
        <v>178723200</v>
      </c>
      <c r="F8" s="5" t="s">
        <v>23</v>
      </c>
      <c r="G8" s="14">
        <v>139842</v>
      </c>
      <c r="L8" s="5" t="s">
        <v>21</v>
      </c>
      <c r="M8" s="8">
        <v>302613800</v>
      </c>
      <c r="O8" s="5" t="s">
        <v>26</v>
      </c>
      <c r="P8" s="8">
        <v>229275000</v>
      </c>
      <c r="Q8" s="8">
        <v>694680000</v>
      </c>
      <c r="R8" s="8">
        <v>2699235000</v>
      </c>
      <c r="S8" s="8">
        <v>3623190000</v>
      </c>
      <c r="Y8" s="5" t="s">
        <v>40</v>
      </c>
      <c r="Z8" s="8">
        <v>870795900</v>
      </c>
      <c r="AB8" s="5" t="s">
        <v>19</v>
      </c>
      <c r="AC8" s="8">
        <v>955836000</v>
      </c>
    </row>
    <row r="9" spans="1:29" x14ac:dyDescent="0.2">
      <c r="A9" t="s">
        <v>28</v>
      </c>
      <c r="C9" s="5" t="s">
        <v>17</v>
      </c>
      <c r="D9" s="8">
        <v>604692000</v>
      </c>
      <c r="F9" s="5" t="s">
        <v>19</v>
      </c>
      <c r="G9" s="14">
        <v>136548</v>
      </c>
      <c r="L9" s="5" t="s">
        <v>15</v>
      </c>
      <c r="M9" s="8">
        <v>225940050</v>
      </c>
      <c r="Y9" s="5" t="s">
        <v>41</v>
      </c>
      <c r="Z9" s="8">
        <v>678606700</v>
      </c>
      <c r="AB9" s="5" t="s">
        <v>26</v>
      </c>
      <c r="AC9" s="8">
        <v>1991838000</v>
      </c>
    </row>
    <row r="10" spans="1:29" x14ac:dyDescent="0.2">
      <c r="A10" s="8">
        <v>1017885</v>
      </c>
      <c r="C10" s="5" t="s">
        <v>19</v>
      </c>
      <c r="D10" s="8">
        <v>955836000</v>
      </c>
      <c r="F10" s="5" t="s">
        <v>12</v>
      </c>
      <c r="G10" s="14">
        <v>129679</v>
      </c>
      <c r="L10" s="5" t="s">
        <v>18</v>
      </c>
      <c r="M10" s="8">
        <v>147821550</v>
      </c>
      <c r="Y10" s="5" t="s">
        <v>42</v>
      </c>
      <c r="Z10" s="8">
        <v>913035400</v>
      </c>
    </row>
    <row r="11" spans="1:29" x14ac:dyDescent="0.2">
      <c r="C11" s="5" t="s">
        <v>26</v>
      </c>
      <c r="D11" s="8">
        <v>2099369250</v>
      </c>
      <c r="F11" s="5" t="s">
        <v>26</v>
      </c>
      <c r="G11" s="14">
        <v>1017885</v>
      </c>
      <c r="L11" s="5" t="s">
        <v>9</v>
      </c>
      <c r="M11" s="8">
        <v>164997350</v>
      </c>
      <c r="Y11" s="5" t="s">
        <v>43</v>
      </c>
      <c r="Z11" s="8">
        <v>1251126800</v>
      </c>
    </row>
    <row r="12" spans="1:29" x14ac:dyDescent="0.2">
      <c r="A12" s="9" t="s">
        <v>33</v>
      </c>
      <c r="L12" s="5" t="s">
        <v>22</v>
      </c>
      <c r="M12" s="8">
        <v>237119250</v>
      </c>
      <c r="Y12" s="5" t="s">
        <v>44</v>
      </c>
      <c r="Z12" s="8">
        <v>1060185700</v>
      </c>
    </row>
    <row r="13" spans="1:29" x14ac:dyDescent="0.2">
      <c r="A13" s="10">
        <f>GETPIVOTDATA("Profit",$A$6)/GETPIVOTDATA("Revenue",$A$3)</f>
        <v>0.20094394787762695</v>
      </c>
      <c r="L13" s="5" t="s">
        <v>11</v>
      </c>
      <c r="M13" s="8">
        <v>177112700</v>
      </c>
      <c r="Y13" s="5" t="s">
        <v>45</v>
      </c>
      <c r="Z13" s="8">
        <v>867619100</v>
      </c>
    </row>
    <row r="14" spans="1:29" x14ac:dyDescent="0.2">
      <c r="A14" t="s">
        <v>54</v>
      </c>
      <c r="L14" s="5" t="s">
        <v>26</v>
      </c>
      <c r="M14" s="8">
        <v>2099369250</v>
      </c>
      <c r="Y14" s="5" t="s">
        <v>46</v>
      </c>
      <c r="Z14" s="8">
        <v>723897600</v>
      </c>
    </row>
    <row r="15" spans="1:29" ht="20.25" x14ac:dyDescent="0.3">
      <c r="A15" s="13" t="s">
        <v>55</v>
      </c>
      <c r="B15" s="15">
        <f>GETPIVOTDATA("Revenue",$A$3)</f>
        <v>10447536600</v>
      </c>
      <c r="Y15" s="5" t="s">
        <v>47</v>
      </c>
      <c r="Z15" s="8">
        <v>676202700</v>
      </c>
    </row>
    <row r="16" spans="1:29" ht="23.25" x14ac:dyDescent="0.35">
      <c r="A16" s="13" t="s">
        <v>56</v>
      </c>
      <c r="B16" s="16">
        <f>GETPIVOTDATA("Profit",$A$6)</f>
        <v>2099369250</v>
      </c>
      <c r="Y16" s="5" t="s">
        <v>26</v>
      </c>
      <c r="Z16" s="8">
        <v>10447536600</v>
      </c>
    </row>
    <row r="17" spans="1:2" ht="23.25" x14ac:dyDescent="0.35">
      <c r="A17" s="13" t="s">
        <v>32</v>
      </c>
      <c r="B17" s="17">
        <f>GETPIVOTDATA("Units Sold",$A$9)</f>
        <v>1017885</v>
      </c>
    </row>
    <row r="18" spans="1:2" ht="25.5" x14ac:dyDescent="0.35">
      <c r="A18" s="13" t="s">
        <v>57</v>
      </c>
      <c r="B18" s="18">
        <f>A13</f>
        <v>0.20094394787762695</v>
      </c>
    </row>
    <row r="19" spans="1:2" x14ac:dyDescent="0.2">
      <c r="A19" s="13"/>
      <c r="B19" s="13"/>
    </row>
  </sheetData>
  <mergeCells count="7">
    <mergeCell ref="AB1:AC1"/>
    <mergeCell ref="C1:E1"/>
    <mergeCell ref="F1:G1"/>
    <mergeCell ref="I1:J1"/>
    <mergeCell ref="L1:M1"/>
    <mergeCell ref="O1:W1"/>
    <mergeCell ref="Y1:Z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50EF-A48F-47FD-85AD-BC5DD34C3004}">
  <sheetPr codeName="Sheet4">
    <tabColor theme="5" tint="0.39997558519241921"/>
  </sheetPr>
  <dimension ref="A1:S24"/>
  <sheetViews>
    <sheetView showGridLines="0" showRowColHeaders="0" tabSelected="1" zoomScale="115" zoomScaleNormal="115" workbookViewId="0">
      <selection activeCell="H3" sqref="H3"/>
    </sheetView>
  </sheetViews>
  <sheetFormatPr defaultRowHeight="14.25" x14ac:dyDescent="0.2"/>
  <cols>
    <col min="1" max="16384" width="9" style="11"/>
  </cols>
  <sheetData>
    <row r="1" spans="1:19" x14ac:dyDescent="0.2">
      <c r="A1" s="12"/>
      <c r="B1" s="12"/>
      <c r="C1" s="12"/>
      <c r="D1" s="12"/>
      <c r="E1" s="12"/>
      <c r="F1" s="12"/>
      <c r="G1" s="12"/>
      <c r="H1" s="12"/>
      <c r="I1" s="12"/>
      <c r="J1" s="12"/>
      <c r="K1" s="12"/>
      <c r="L1" s="12"/>
      <c r="M1" s="12"/>
      <c r="N1" s="12"/>
      <c r="O1" s="12"/>
      <c r="P1" s="12"/>
      <c r="Q1" s="12"/>
      <c r="R1" s="12"/>
      <c r="S1" s="12"/>
    </row>
    <row r="2" spans="1:19" x14ac:dyDescent="0.2">
      <c r="A2" s="12"/>
      <c r="B2" s="12"/>
      <c r="C2" s="12"/>
      <c r="D2" s="12"/>
      <c r="E2" s="12"/>
      <c r="F2" s="12"/>
      <c r="G2" s="12"/>
      <c r="H2" s="12"/>
      <c r="I2" s="12"/>
      <c r="J2" s="12"/>
      <c r="K2" s="12"/>
      <c r="L2" s="12"/>
      <c r="M2" s="12"/>
      <c r="N2" s="12"/>
      <c r="O2" s="12"/>
      <c r="P2" s="12"/>
      <c r="Q2" s="12"/>
      <c r="R2" s="12"/>
      <c r="S2" s="12"/>
    </row>
    <row r="3" spans="1:19" x14ac:dyDescent="0.2">
      <c r="A3" s="12"/>
      <c r="B3" s="12"/>
      <c r="C3" s="12"/>
      <c r="D3" s="12"/>
      <c r="E3" s="12"/>
      <c r="F3" s="12"/>
      <c r="G3" s="12"/>
      <c r="H3" s="12"/>
      <c r="I3" s="12"/>
      <c r="J3" s="12"/>
      <c r="K3" s="12"/>
      <c r="L3" s="12"/>
      <c r="M3" s="12"/>
      <c r="N3" s="12"/>
      <c r="O3" s="12"/>
      <c r="P3" s="12"/>
      <c r="Q3" s="12"/>
      <c r="R3" s="12"/>
      <c r="S3" s="12"/>
    </row>
    <row r="4" spans="1:19" x14ac:dyDescent="0.2">
      <c r="A4" s="12"/>
      <c r="B4" s="12"/>
      <c r="C4" s="12"/>
      <c r="D4" s="12"/>
      <c r="E4" s="12"/>
      <c r="F4" s="12"/>
      <c r="G4" s="12"/>
      <c r="H4" s="12"/>
      <c r="I4" s="12"/>
      <c r="J4" s="12"/>
      <c r="K4" s="12"/>
      <c r="L4" s="12"/>
      <c r="M4" s="12"/>
      <c r="N4" s="12"/>
      <c r="O4" s="12"/>
      <c r="P4" s="12"/>
      <c r="Q4" s="12"/>
      <c r="R4" s="12"/>
      <c r="S4" s="12"/>
    </row>
    <row r="5" spans="1:19" x14ac:dyDescent="0.2">
      <c r="A5" s="12"/>
      <c r="B5" s="12"/>
      <c r="C5" s="12"/>
      <c r="D5" s="12"/>
      <c r="E5" s="12"/>
      <c r="F5" s="12"/>
      <c r="G5" s="12"/>
      <c r="H5" s="12"/>
      <c r="I5" s="12"/>
      <c r="J5" s="12"/>
      <c r="K5" s="12"/>
      <c r="L5" s="12"/>
      <c r="M5" s="12"/>
      <c r="N5" s="12"/>
      <c r="O5" s="12"/>
      <c r="P5" s="12"/>
      <c r="Q5" s="12"/>
      <c r="R5" s="12"/>
      <c r="S5" s="12"/>
    </row>
    <row r="6" spans="1:19" x14ac:dyDescent="0.2">
      <c r="A6" s="12"/>
      <c r="B6" s="12"/>
      <c r="C6" s="12"/>
      <c r="D6" s="12"/>
      <c r="E6" s="12"/>
      <c r="F6" s="12"/>
      <c r="G6" s="12"/>
      <c r="H6" s="12"/>
      <c r="I6" s="12"/>
      <c r="J6" s="12"/>
      <c r="K6" s="12"/>
      <c r="L6" s="12"/>
      <c r="M6" s="12"/>
      <c r="N6" s="12"/>
      <c r="O6" s="12"/>
      <c r="P6" s="12"/>
      <c r="Q6" s="12"/>
      <c r="R6" s="12"/>
      <c r="S6" s="12"/>
    </row>
    <row r="7" spans="1:19" x14ac:dyDescent="0.2">
      <c r="A7" s="12"/>
      <c r="B7" s="12"/>
      <c r="C7" s="12"/>
      <c r="D7" s="12"/>
      <c r="E7" s="12"/>
      <c r="F7" s="12"/>
      <c r="G7" s="12"/>
      <c r="H7" s="12"/>
      <c r="I7" s="12"/>
      <c r="J7" s="12"/>
      <c r="K7" s="12"/>
      <c r="L7" s="12"/>
      <c r="M7" s="12"/>
      <c r="N7" s="12"/>
      <c r="O7" s="12"/>
      <c r="P7" s="12"/>
      <c r="Q7" s="12"/>
      <c r="R7" s="12"/>
      <c r="S7" s="12"/>
    </row>
    <row r="8" spans="1:19" x14ac:dyDescent="0.2">
      <c r="A8" s="12"/>
      <c r="B8" s="12"/>
      <c r="C8" s="12"/>
      <c r="D8" s="12"/>
      <c r="E8" s="12"/>
      <c r="F8" s="12"/>
      <c r="G8" s="12"/>
      <c r="H8" s="12"/>
      <c r="I8" s="12"/>
      <c r="J8" s="12"/>
      <c r="K8" s="12"/>
      <c r="L8" s="12"/>
      <c r="M8" s="12"/>
      <c r="N8" s="12"/>
      <c r="O8" s="12"/>
      <c r="P8" s="12"/>
      <c r="Q8" s="12"/>
      <c r="R8" s="12"/>
      <c r="S8" s="12"/>
    </row>
    <row r="9" spans="1:19" x14ac:dyDescent="0.2">
      <c r="A9" s="12"/>
      <c r="B9" s="12"/>
      <c r="C9" s="12"/>
      <c r="D9" s="12"/>
      <c r="E9" s="12"/>
      <c r="F9" s="12"/>
      <c r="G9" s="12"/>
      <c r="H9" s="12"/>
      <c r="I9" s="12"/>
      <c r="J9" s="12"/>
      <c r="K9" s="12"/>
      <c r="L9" s="12"/>
      <c r="M9" s="12"/>
      <c r="N9" s="12"/>
      <c r="O9" s="12"/>
      <c r="P9" s="12"/>
      <c r="Q9" s="12"/>
      <c r="R9" s="12"/>
      <c r="S9" s="12"/>
    </row>
    <row r="10" spans="1:19" x14ac:dyDescent="0.2">
      <c r="A10" s="12"/>
      <c r="B10" s="12"/>
      <c r="C10" s="12"/>
      <c r="D10" s="12"/>
      <c r="E10" s="12"/>
      <c r="F10" s="12"/>
      <c r="G10" s="12"/>
      <c r="H10" s="12"/>
      <c r="I10" s="12"/>
      <c r="J10" s="12"/>
      <c r="K10" s="12"/>
      <c r="L10" s="12"/>
      <c r="M10" s="12"/>
      <c r="N10" s="12"/>
      <c r="O10" s="12"/>
      <c r="P10" s="12"/>
      <c r="Q10" s="12"/>
      <c r="R10" s="12"/>
      <c r="S10" s="12"/>
    </row>
    <row r="11" spans="1:19" x14ac:dyDescent="0.2">
      <c r="A11" s="12"/>
      <c r="B11" s="12"/>
      <c r="C11" s="12"/>
      <c r="D11" s="12"/>
      <c r="E11" s="12"/>
      <c r="F11" s="12"/>
      <c r="G11" s="12"/>
      <c r="H11" s="12"/>
      <c r="I11" s="12"/>
      <c r="J11" s="12"/>
      <c r="K11" s="12"/>
      <c r="L11" s="12"/>
      <c r="M11" s="12"/>
      <c r="N11" s="12"/>
      <c r="O11" s="12"/>
      <c r="P11" s="12"/>
      <c r="Q11" s="12"/>
      <c r="R11" s="12"/>
      <c r="S11" s="12"/>
    </row>
    <row r="12" spans="1:19" x14ac:dyDescent="0.2">
      <c r="A12" s="12"/>
      <c r="B12" s="12"/>
      <c r="C12" s="12"/>
      <c r="D12" s="12"/>
      <c r="E12" s="12"/>
      <c r="F12" s="12"/>
      <c r="G12" s="12"/>
      <c r="H12" s="12"/>
      <c r="I12" s="12"/>
      <c r="J12" s="12"/>
      <c r="K12" s="12"/>
      <c r="L12" s="12"/>
      <c r="M12" s="12"/>
      <c r="N12" s="12"/>
      <c r="O12" s="12"/>
      <c r="P12" s="12"/>
      <c r="Q12" s="12"/>
      <c r="R12" s="12"/>
      <c r="S12" s="12"/>
    </row>
    <row r="13" spans="1:19" x14ac:dyDescent="0.2">
      <c r="A13" s="12"/>
      <c r="B13" s="12"/>
      <c r="C13" s="12"/>
      <c r="D13" s="12"/>
      <c r="E13" s="12"/>
      <c r="F13" s="12"/>
      <c r="G13" s="12"/>
      <c r="H13" s="12"/>
      <c r="I13" s="12"/>
      <c r="J13" s="12"/>
      <c r="K13" s="12"/>
      <c r="L13" s="12"/>
      <c r="M13" s="12"/>
      <c r="N13" s="12"/>
      <c r="O13" s="12"/>
      <c r="P13" s="12"/>
      <c r="Q13" s="12"/>
      <c r="R13" s="12"/>
      <c r="S13" s="12"/>
    </row>
    <row r="14" spans="1:19" x14ac:dyDescent="0.2">
      <c r="A14" s="12"/>
      <c r="B14" s="12"/>
      <c r="C14" s="12"/>
      <c r="D14" s="12"/>
      <c r="E14" s="12"/>
      <c r="F14" s="12"/>
      <c r="G14" s="12"/>
      <c r="H14" s="12"/>
      <c r="I14" s="12"/>
      <c r="J14" s="12"/>
      <c r="K14" s="12"/>
      <c r="L14" s="12"/>
      <c r="M14" s="12"/>
      <c r="N14" s="12"/>
      <c r="O14" s="12"/>
      <c r="P14" s="12"/>
      <c r="Q14" s="12"/>
      <c r="R14" s="12"/>
      <c r="S14" s="12"/>
    </row>
    <row r="15" spans="1:19" x14ac:dyDescent="0.2">
      <c r="A15" s="12"/>
      <c r="B15" s="12"/>
      <c r="C15" s="12"/>
      <c r="D15" s="12"/>
      <c r="E15" s="12"/>
      <c r="F15" s="12"/>
      <c r="G15" s="12"/>
      <c r="H15" s="12"/>
      <c r="I15" s="12"/>
      <c r="J15" s="12"/>
      <c r="K15" s="12"/>
      <c r="L15" s="12"/>
      <c r="M15" s="12"/>
      <c r="N15" s="12"/>
      <c r="O15" s="12"/>
      <c r="P15" s="12"/>
      <c r="Q15" s="12"/>
      <c r="R15" s="12"/>
      <c r="S15" s="12"/>
    </row>
    <row r="16" spans="1:19" x14ac:dyDescent="0.2">
      <c r="A16" s="12"/>
      <c r="B16" s="12"/>
      <c r="C16" s="12"/>
      <c r="D16" s="12"/>
      <c r="E16" s="12"/>
      <c r="F16" s="12"/>
      <c r="G16" s="12"/>
      <c r="H16" s="12"/>
      <c r="I16" s="12"/>
      <c r="J16" s="12"/>
      <c r="K16" s="12"/>
      <c r="L16" s="12"/>
      <c r="M16" s="12"/>
      <c r="N16" s="12"/>
      <c r="O16" s="12"/>
      <c r="P16" s="12"/>
      <c r="Q16" s="12"/>
      <c r="R16" s="12"/>
      <c r="S16" s="12"/>
    </row>
    <row r="17" spans="1:19" x14ac:dyDescent="0.2">
      <c r="A17" s="12"/>
      <c r="B17" s="12"/>
      <c r="C17" s="12"/>
      <c r="D17" s="12"/>
      <c r="E17" s="12"/>
      <c r="F17" s="12"/>
      <c r="G17" s="12"/>
      <c r="H17" s="12"/>
      <c r="I17" s="12"/>
      <c r="J17" s="12"/>
      <c r="K17" s="12"/>
      <c r="L17" s="12"/>
      <c r="M17" s="12"/>
      <c r="N17" s="12"/>
      <c r="O17" s="12"/>
      <c r="P17" s="12"/>
      <c r="Q17" s="12"/>
      <c r="R17" s="12"/>
      <c r="S17" s="12"/>
    </row>
    <row r="18" spans="1:19" x14ac:dyDescent="0.2">
      <c r="A18" s="12"/>
      <c r="B18" s="12"/>
      <c r="C18" s="12"/>
      <c r="D18" s="12"/>
      <c r="E18" s="12"/>
      <c r="F18" s="12"/>
      <c r="G18" s="12"/>
      <c r="H18" s="12"/>
      <c r="I18" s="12"/>
      <c r="J18" s="12"/>
      <c r="K18" s="12"/>
      <c r="L18" s="12"/>
      <c r="M18" s="12"/>
      <c r="N18" s="12"/>
      <c r="O18" s="12"/>
      <c r="P18" s="12"/>
      <c r="Q18" s="12"/>
      <c r="R18" s="12"/>
      <c r="S18" s="12"/>
    </row>
    <row r="19" spans="1:19" x14ac:dyDescent="0.2">
      <c r="A19" s="12"/>
      <c r="B19" s="12"/>
      <c r="C19" s="12"/>
      <c r="D19" s="12"/>
      <c r="E19" s="12"/>
      <c r="F19" s="12"/>
      <c r="G19" s="12"/>
      <c r="H19" s="12"/>
      <c r="I19" s="12"/>
      <c r="J19" s="12"/>
      <c r="K19" s="12"/>
      <c r="L19" s="12"/>
      <c r="M19" s="12"/>
      <c r="N19" s="12"/>
      <c r="O19" s="12"/>
      <c r="P19" s="12"/>
      <c r="Q19" s="12"/>
      <c r="R19" s="12"/>
      <c r="S19" s="12"/>
    </row>
    <row r="20" spans="1:19" x14ac:dyDescent="0.2">
      <c r="A20" s="12"/>
      <c r="B20" s="12"/>
      <c r="C20" s="12"/>
      <c r="D20" s="12"/>
      <c r="E20" s="12"/>
      <c r="F20" s="12"/>
      <c r="G20" s="12"/>
      <c r="H20" s="12"/>
      <c r="I20" s="12"/>
      <c r="J20" s="12"/>
      <c r="K20" s="12"/>
      <c r="L20" s="12"/>
      <c r="M20" s="12"/>
      <c r="N20" s="12"/>
      <c r="O20" s="12"/>
      <c r="P20" s="12"/>
      <c r="Q20" s="12"/>
      <c r="R20" s="12"/>
      <c r="S20" s="12"/>
    </row>
    <row r="21" spans="1:19" x14ac:dyDescent="0.2">
      <c r="A21" s="12"/>
      <c r="B21" s="12"/>
      <c r="C21" s="12"/>
      <c r="D21" s="12"/>
      <c r="E21" s="12"/>
      <c r="F21" s="12"/>
      <c r="G21" s="12"/>
      <c r="H21" s="12"/>
      <c r="I21" s="12"/>
      <c r="J21" s="12"/>
      <c r="K21" s="12"/>
      <c r="L21" s="12"/>
      <c r="M21" s="12"/>
      <c r="N21" s="12"/>
      <c r="O21" s="12"/>
      <c r="P21" s="12"/>
      <c r="Q21" s="12"/>
      <c r="R21" s="12"/>
      <c r="S21" s="12"/>
    </row>
    <row r="22" spans="1:19" x14ac:dyDescent="0.2">
      <c r="A22" s="12"/>
      <c r="B22" s="12"/>
      <c r="C22" s="12"/>
      <c r="D22" s="12"/>
      <c r="E22" s="12"/>
      <c r="F22" s="12"/>
      <c r="G22" s="12"/>
      <c r="H22" s="12"/>
      <c r="I22" s="12"/>
      <c r="J22" s="12"/>
      <c r="K22" s="12"/>
      <c r="L22" s="12"/>
      <c r="M22" s="12"/>
      <c r="N22" s="12"/>
      <c r="O22" s="12"/>
      <c r="P22" s="12"/>
      <c r="Q22" s="12"/>
      <c r="R22" s="12"/>
      <c r="S22" s="12"/>
    </row>
    <row r="23" spans="1:19" x14ac:dyDescent="0.2">
      <c r="A23" s="12"/>
      <c r="B23" s="12"/>
      <c r="C23" s="12"/>
      <c r="D23" s="12"/>
      <c r="E23" s="12"/>
      <c r="F23" s="12"/>
      <c r="G23" s="12"/>
      <c r="H23" s="12"/>
      <c r="I23" s="12"/>
      <c r="J23" s="12"/>
      <c r="K23" s="12"/>
      <c r="L23" s="12"/>
      <c r="M23" s="12"/>
      <c r="N23" s="12"/>
      <c r="O23" s="12"/>
      <c r="P23" s="12"/>
      <c r="Q23" s="12"/>
      <c r="R23" s="12"/>
      <c r="S23" s="12"/>
    </row>
    <row r="24" spans="1:19" x14ac:dyDescent="0.2">
      <c r="A24" s="12"/>
      <c r="B24" s="12"/>
      <c r="C24" s="12"/>
      <c r="D24" s="12"/>
      <c r="E24" s="12"/>
      <c r="F24" s="12"/>
      <c r="G24" s="12"/>
      <c r="H24" s="12"/>
      <c r="I24" s="12"/>
      <c r="J24" s="12"/>
      <c r="K24" s="12"/>
      <c r="L24" s="12"/>
      <c r="M24" s="12"/>
      <c r="N24" s="12"/>
      <c r="O24" s="12"/>
      <c r="P24" s="12"/>
      <c r="Q24" s="12"/>
      <c r="R24" s="12"/>
      <c r="S2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6482-81EC-471D-8A49-F8100162645A}">
  <sheetPr codeName="Sheet5">
    <tabColor theme="3" tint="-0.249977111117893"/>
  </sheetPr>
  <dimension ref="A1"/>
  <sheetViews>
    <sheetView workbookViewId="0">
      <selection activeCell="H22" sqref="H22"/>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New Data</vt:lpstr>
      <vt:lpstr>Analysis</vt:lpstr>
      <vt:lpstr>Dashboard</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josephblessing79@yahoo.com</cp:lastModifiedBy>
  <dcterms:created xsi:type="dcterms:W3CDTF">2026-01-17T08:53:53Z</dcterms:created>
  <dcterms:modified xsi:type="dcterms:W3CDTF">2026-10-02T19:06:13Z</dcterms:modified>
</cp:coreProperties>
</file>